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al\Documents\GitHub\ROV-Remotely-Operated-Vehicle-Santamaria-Barrientos\Informes\"/>
    </mc:Choice>
  </mc:AlternateContent>
  <xr:revisionPtr revIDLastSave="0" documentId="13_ncr:1_{21BDB747-C18A-41B1-AA9D-CE2778D737C2}" xr6:coauthVersionLast="47" xr6:coauthVersionMax="47" xr10:uidLastSave="{00000000-0000-0000-0000-000000000000}"/>
  <bookViews>
    <workbookView xWindow="-120" yWindow="-120" windowWidth="24240" windowHeight="13020" activeTab="3" xr2:uid="{87E74416-7799-4AD7-A0CC-89D4080577C1}"/>
  </bookViews>
  <sheets>
    <sheet name="Hoja1" sheetId="1" r:id="rId1"/>
    <sheet name="Tareas_ROV" sheetId="5" r:id="rId2"/>
    <sheet name="Hoja1 (4)" sheetId="6" r:id="rId3"/>
    <sheet name="Hoja1 (5)" sheetId="7" r:id="rId4"/>
  </sheets>
  <definedNames>
    <definedName name="_xlnm.Print_Area" localSheetId="2">'Hoja1 (4)'!$A$2:$BH$33</definedName>
    <definedName name="_xlnm.Print_Area" localSheetId="3">'Hoja1 (5)'!$A$2:$CX$33</definedName>
    <definedName name="DatosExternos_1" localSheetId="1" hidden="1">Tareas_ROV!$A$1:$L$26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7" l="1"/>
  <c r="I25" i="7"/>
  <c r="I17" i="7"/>
  <c r="H33" i="7"/>
  <c r="H27" i="7"/>
  <c r="H28" i="7"/>
  <c r="H29" i="7"/>
  <c r="H30" i="7"/>
  <c r="H31" i="7"/>
  <c r="H32" i="7"/>
  <c r="H19" i="7"/>
  <c r="H20" i="7"/>
  <c r="H21" i="7"/>
  <c r="H22" i="7"/>
  <c r="H23" i="7"/>
  <c r="H24" i="7"/>
  <c r="H25" i="7"/>
  <c r="H11" i="7"/>
  <c r="H12" i="7"/>
  <c r="H13" i="7"/>
  <c r="H14" i="7"/>
  <c r="H15" i="7"/>
  <c r="H16" i="7"/>
  <c r="H17" i="7"/>
  <c r="H10" i="7"/>
  <c r="D33" i="7"/>
  <c r="D25" i="7"/>
  <c r="D17" i="7"/>
  <c r="C6" i="7"/>
  <c r="S7" i="7" s="1"/>
  <c r="D17" i="6"/>
  <c r="D25" i="6"/>
  <c r="D33" i="6"/>
  <c r="H33" i="6"/>
  <c r="H25" i="6"/>
  <c r="H27" i="6"/>
  <c r="H28" i="6"/>
  <c r="H29" i="6"/>
  <c r="H30" i="6"/>
  <c r="H31" i="6"/>
  <c r="H32" i="6"/>
  <c r="H20" i="6"/>
  <c r="H21" i="6"/>
  <c r="H22" i="6"/>
  <c r="H23" i="6"/>
  <c r="H24" i="6"/>
  <c r="H17" i="6"/>
  <c r="H19" i="6"/>
  <c r="H11" i="6"/>
  <c r="H12" i="6"/>
  <c r="H13" i="6"/>
  <c r="H14" i="6"/>
  <c r="H15" i="6"/>
  <c r="H16" i="6"/>
  <c r="H10" i="6"/>
  <c r="C6" i="6"/>
  <c r="S7" i="6" s="1"/>
  <c r="S8" i="6" s="1"/>
  <c r="E4" i="1"/>
  <c r="G5" i="1" s="1"/>
  <c r="G4" i="1" s="1"/>
  <c r="T7" i="7" l="1"/>
  <c r="S8" i="7"/>
  <c r="S6" i="7"/>
  <c r="T7" i="6"/>
  <c r="S6" i="6"/>
  <c r="G6" i="1"/>
  <c r="H5" i="1"/>
  <c r="H6" i="1" s="1"/>
  <c r="U7" i="7" l="1"/>
  <c r="T8" i="7"/>
  <c r="T8" i="6"/>
  <c r="U7" i="6"/>
  <c r="I5" i="1"/>
  <c r="I6" i="1" s="1"/>
  <c r="V7" i="7" l="1"/>
  <c r="U8" i="7"/>
  <c r="U8" i="6"/>
  <c r="V7" i="6"/>
  <c r="J5" i="1"/>
  <c r="J6" i="1" s="1"/>
  <c r="V8" i="7" l="1"/>
  <c r="W7" i="7"/>
  <c r="W7" i="6"/>
  <c r="V8" i="6"/>
  <c r="K5" i="1"/>
  <c r="K6" i="1" s="1"/>
  <c r="X7" i="7" l="1"/>
  <c r="W8" i="7"/>
  <c r="X7" i="6"/>
  <c r="W8" i="6"/>
  <c r="L5" i="1"/>
  <c r="L6" i="1" s="1"/>
  <c r="X8" i="7" l="1"/>
  <c r="Y7" i="7"/>
  <c r="Y7" i="6"/>
  <c r="X8" i="6"/>
  <c r="M5" i="1"/>
  <c r="N5" i="1" s="1"/>
  <c r="Y8" i="7" l="1"/>
  <c r="Z7" i="7"/>
  <c r="Z7" i="6"/>
  <c r="Y8" i="6"/>
  <c r="M6" i="1"/>
  <c r="N6" i="1"/>
  <c r="N4" i="1"/>
  <c r="O5" i="1"/>
  <c r="AA7" i="7" l="1"/>
  <c r="Z6" i="7"/>
  <c r="Z8" i="7"/>
  <c r="AA7" i="6"/>
  <c r="Z6" i="6"/>
  <c r="Z8" i="6"/>
  <c r="O6" i="1"/>
  <c r="P5" i="1"/>
  <c r="AB7" i="7" l="1"/>
  <c r="AA8" i="7"/>
  <c r="AB7" i="6"/>
  <c r="AA8" i="6"/>
  <c r="P6" i="1"/>
  <c r="Q5" i="1"/>
  <c r="AB8" i="7" l="1"/>
  <c r="AC7" i="7"/>
  <c r="AC7" i="6"/>
  <c r="AB8" i="6"/>
  <c r="Q6" i="1"/>
  <c r="R5" i="1"/>
  <c r="AD7" i="7" l="1"/>
  <c r="AC8" i="7"/>
  <c r="AC8" i="6"/>
  <c r="AD7" i="6"/>
  <c r="R6" i="1"/>
  <c r="S5" i="1"/>
  <c r="AE7" i="7" l="1"/>
  <c r="AD8" i="7"/>
  <c r="AD8" i="6"/>
  <c r="AE7" i="6"/>
  <c r="S6" i="1"/>
  <c r="T5" i="1"/>
  <c r="AE8" i="7" l="1"/>
  <c r="AF7" i="7"/>
  <c r="AE8" i="6"/>
  <c r="AF7" i="6"/>
  <c r="T6" i="1"/>
  <c r="U5" i="1"/>
  <c r="AF8" i="7" l="1"/>
  <c r="AG7" i="7"/>
  <c r="AF8" i="6"/>
  <c r="AG7" i="6"/>
  <c r="U6" i="1"/>
  <c r="U4" i="1"/>
  <c r="V5" i="1"/>
  <c r="AH7" i="7" l="1"/>
  <c r="AG8" i="7"/>
  <c r="AG6" i="7"/>
  <c r="AG8" i="6"/>
  <c r="AG6" i="6"/>
  <c r="AH7" i="6"/>
  <c r="V6" i="1"/>
  <c r="W5" i="1"/>
  <c r="AI7" i="7" l="1"/>
  <c r="AH8" i="7"/>
  <c r="AI7" i="6"/>
  <c r="AH8" i="6"/>
  <c r="W6" i="1"/>
  <c r="X5" i="1"/>
  <c r="AI8" i="7" l="1"/>
  <c r="AJ7" i="7"/>
  <c r="AJ7" i="6"/>
  <c r="AI8" i="6"/>
  <c r="X6" i="1"/>
  <c r="Y5" i="1"/>
  <c r="AJ8" i="7" l="1"/>
  <c r="AK7" i="7"/>
  <c r="AK7" i="6"/>
  <c r="AJ8" i="6"/>
  <c r="Y6" i="1"/>
  <c r="Z5" i="1"/>
  <c r="AK8" i="7" l="1"/>
  <c r="AL7" i="7"/>
  <c r="AL7" i="6"/>
  <c r="AK8" i="6"/>
  <c r="Z6" i="1"/>
  <c r="AA5" i="1"/>
  <c r="AL8" i="7" l="1"/>
  <c r="AM7" i="7"/>
  <c r="AM7" i="6"/>
  <c r="AL8" i="6"/>
  <c r="AA6" i="1"/>
  <c r="AB5" i="1"/>
  <c r="AM8" i="7" l="1"/>
  <c r="AN7" i="7"/>
  <c r="AN7" i="6"/>
  <c r="AM8" i="6"/>
  <c r="AB4" i="1"/>
  <c r="AB6" i="1"/>
  <c r="AC5" i="1"/>
  <c r="AN8" i="7" l="1"/>
  <c r="AO7" i="7"/>
  <c r="AN6" i="7"/>
  <c r="AO7" i="6"/>
  <c r="AN6" i="6"/>
  <c r="AN8" i="6"/>
  <c r="AD5" i="1"/>
  <c r="AC6" i="1"/>
  <c r="AP7" i="7" l="1"/>
  <c r="AO8" i="7"/>
  <c r="AO8" i="6"/>
  <c r="AP7" i="6"/>
  <c r="AE5" i="1"/>
  <c r="AD6" i="1"/>
  <c r="AQ7" i="7" l="1"/>
  <c r="AP8" i="7"/>
  <c r="AP8" i="6"/>
  <c r="AQ7" i="6"/>
  <c r="AE6" i="1"/>
  <c r="AF5" i="1"/>
  <c r="AR7" i="7" l="1"/>
  <c r="AQ8" i="7"/>
  <c r="AQ8" i="6"/>
  <c r="AR7" i="6"/>
  <c r="AG5" i="1"/>
  <c r="AF6" i="1"/>
  <c r="AS7" i="7" l="1"/>
  <c r="AR8" i="7"/>
  <c r="AR8" i="6"/>
  <c r="AS7" i="6"/>
  <c r="AH5" i="1"/>
  <c r="AH6" i="1" s="1"/>
  <c r="AG6" i="1"/>
  <c r="AT7" i="7" l="1"/>
  <c r="AS8" i="7"/>
  <c r="AS8" i="6"/>
  <c r="AT7" i="6"/>
  <c r="AT8" i="7" l="1"/>
  <c r="AU7" i="7"/>
  <c r="AU7" i="6"/>
  <c r="AT8" i="6"/>
  <c r="AU8" i="7" l="1"/>
  <c r="AU6" i="7"/>
  <c r="AV7" i="7"/>
  <c r="AV7" i="6"/>
  <c r="AU8" i="6"/>
  <c r="AU6" i="6"/>
  <c r="AV8" i="7" l="1"/>
  <c r="AW7" i="7"/>
  <c r="AW7" i="6"/>
  <c r="AV8" i="6"/>
  <c r="AW8" i="7" l="1"/>
  <c r="AX7" i="7"/>
  <c r="AX7" i="6"/>
  <c r="AW8" i="6"/>
  <c r="AX8" i="7" l="1"/>
  <c r="AY7" i="7"/>
  <c r="AY7" i="6"/>
  <c r="AX8" i="6"/>
  <c r="AY8" i="7" l="1"/>
  <c r="AZ7" i="7"/>
  <c r="AZ7" i="6"/>
  <c r="AY8" i="6"/>
  <c r="AZ8" i="7" l="1"/>
  <c r="BA7" i="7"/>
  <c r="BA7" i="6"/>
  <c r="AZ8" i="6"/>
  <c r="BB7" i="7" l="1"/>
  <c r="BA8" i="7"/>
  <c r="BA8" i="6"/>
  <c r="BB7" i="6"/>
  <c r="BC7" i="7" l="1"/>
  <c r="BB6" i="7"/>
  <c r="BB8" i="7"/>
  <c r="BB8" i="6"/>
  <c r="BC7" i="6"/>
  <c r="BB6" i="6"/>
  <c r="BC8" i="7" l="1"/>
  <c r="BD7" i="7"/>
  <c r="BC8" i="6"/>
  <c r="BD7" i="6"/>
  <c r="BE7" i="7" l="1"/>
  <c r="BD8" i="7"/>
  <c r="BD8" i="6"/>
  <c r="BE7" i="6"/>
  <c r="BF7" i="7" l="1"/>
  <c r="BE8" i="7"/>
  <c r="BE8" i="6"/>
  <c r="BF7" i="6"/>
  <c r="BG7" i="7" l="1"/>
  <c r="BF8" i="7"/>
  <c r="BG7" i="6"/>
  <c r="BF8" i="6"/>
  <c r="BG8" i="7" l="1"/>
  <c r="BH7" i="7"/>
  <c r="BH7" i="6"/>
  <c r="BH8" i="6" s="1"/>
  <c r="BG8" i="6"/>
  <c r="BH8" i="7" l="1"/>
  <c r="BI7" i="7"/>
  <c r="BI6" i="7" l="1"/>
  <c r="BJ7" i="7"/>
  <c r="BI8" i="7"/>
  <c r="BJ8" i="7" l="1"/>
  <c r="BK7" i="7"/>
  <c r="BK8" i="7" l="1"/>
  <c r="BL7" i="7"/>
  <c r="BL8" i="7" l="1"/>
  <c r="BM7" i="7"/>
  <c r="BM8" i="7" l="1"/>
  <c r="BN7" i="7"/>
  <c r="BN8" i="7" l="1"/>
  <c r="BO7" i="7"/>
  <c r="BO8" i="7" l="1"/>
  <c r="BP7" i="7"/>
  <c r="BP6" i="7" l="1"/>
  <c r="BP8" i="7"/>
  <c r="BQ7" i="7"/>
  <c r="BR7" i="7" l="1"/>
  <c r="BQ8" i="7"/>
  <c r="BS7" i="7" l="1"/>
  <c r="BR8" i="7"/>
  <c r="BS8" i="7" l="1"/>
  <c r="BT7" i="7"/>
  <c r="BU7" i="7" l="1"/>
  <c r="BT8" i="7"/>
  <c r="BU8" i="7" l="1"/>
  <c r="BV7" i="7"/>
  <c r="BW7" i="7" l="1"/>
  <c r="BV8" i="7"/>
  <c r="BX7" i="7" l="1"/>
  <c r="BW6" i="7"/>
  <c r="BW8" i="7"/>
  <c r="BX8" i="7" l="1"/>
  <c r="BY7" i="7"/>
  <c r="BY8" i="7" l="1"/>
  <c r="BZ7" i="7"/>
  <c r="CA7" i="7" l="1"/>
  <c r="BZ8" i="7"/>
  <c r="CA8" i="7" l="1"/>
  <c r="CB7" i="7"/>
  <c r="CB8" i="7" l="1"/>
  <c r="CC7" i="7"/>
  <c r="CC8" i="7" l="1"/>
  <c r="CD7" i="7"/>
  <c r="CE7" i="7" l="1"/>
  <c r="CD6" i="7"/>
  <c r="CD8" i="7"/>
  <c r="CF7" i="7" l="1"/>
  <c r="CE8" i="7"/>
  <c r="CG7" i="7" l="1"/>
  <c r="CF8" i="7"/>
  <c r="CH7" i="7" l="1"/>
  <c r="CG8" i="7"/>
  <c r="CI7" i="7" l="1"/>
  <c r="CH8" i="7"/>
  <c r="CJ7" i="7" l="1"/>
  <c r="CI8" i="7"/>
  <c r="CK7" i="7" l="1"/>
  <c r="CJ8" i="7"/>
  <c r="CL7" i="7" l="1"/>
  <c r="CK8" i="7"/>
  <c r="CK6" i="7"/>
  <c r="CM7" i="7" l="1"/>
  <c r="CL8" i="7"/>
  <c r="CM8" i="7" l="1"/>
  <c r="CN7" i="7"/>
  <c r="CN8" i="7" l="1"/>
  <c r="CO7" i="7"/>
  <c r="CP7" i="7" l="1"/>
  <c r="CO8" i="7"/>
  <c r="CP8" i="7" l="1"/>
  <c r="CQ7" i="7"/>
  <c r="CQ8" i="7" l="1"/>
  <c r="CR7" i="7"/>
  <c r="CR6" i="7" l="1"/>
  <c r="CS7" i="7"/>
  <c r="CR8" i="7"/>
  <c r="CS8" i="7" l="1"/>
  <c r="CT7" i="7"/>
  <c r="CT8" i="7" l="1"/>
  <c r="CU7" i="7"/>
  <c r="CU8" i="7" l="1"/>
  <c r="CV7" i="7"/>
  <c r="CV8" i="7" l="1"/>
  <c r="CW7" i="7"/>
  <c r="CX7" i="7" l="1"/>
  <c r="CX8" i="7" s="1"/>
  <c r="CW8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D1C96D-519C-411D-B36E-C2DC2B73427D}" keepAlive="1" name="Consulta - Tareas_ROV" description="Conexión a la consulta 'Tareas_ROV' en el libro." type="5" refreshedVersion="8" background="1" saveData="1">
    <dbPr connection="Provider=Microsoft.Mashup.OleDb.1;Data Source=$Workbook$;Location=Tareas_ROV;Extended Properties=&quot;&quot;" command="SELECT * FROM [Tareas_ROV]"/>
  </connection>
  <connection id="2" xr16:uid="{04DFAABE-2EA5-45D5-BB7D-2A67EA0D9C79}" keepAlive="1" name="Consulta - Tareas_ROV (2)" description="Conexión a la consulta 'Tareas_ROV (2)' en el libro." type="5" refreshedVersion="8" background="1" saveData="1">
    <dbPr connection="Provider=Microsoft.Mashup.OleDb.1;Data Source=$Workbook$;Location=&quot;Tareas_ROV (2)&quot;;Extended Properties=&quot;&quot;" command="SELECT * FROM [Tareas_ROV (2)]"/>
  </connection>
  <connection id="3" xr16:uid="{FF52E81D-0202-42AF-9E3C-2628B78B58AA}" keepAlive="1" name="Consulta - Tareas_ROV (3)" description="Conexión a la consulta 'Tareas_ROV (3)' en el libro." type="5" refreshedVersion="8" background="1" saveData="1">
    <dbPr connection="Provider=Microsoft.Mashup.OleDb.1;Data Source=$Workbook$;Location=&quot;Tareas_ROV (3)&quot;;Extended Properties=&quot;&quot;" command="SELECT * FROM [Tareas_ROV (3)]"/>
  </connection>
</connections>
</file>

<file path=xl/sharedStrings.xml><?xml version="1.0" encoding="utf-8"?>
<sst xmlns="http://schemas.openxmlformats.org/spreadsheetml/2006/main" count="540" uniqueCount="215">
  <si>
    <t>TAREA</t>
  </si>
  <si>
    <t>RESPONSABLE</t>
  </si>
  <si>
    <t>PROGRESO</t>
  </si>
  <si>
    <t>INICIO</t>
  </si>
  <si>
    <t>FIN</t>
  </si>
  <si>
    <t>Tarea 1.1</t>
  </si>
  <si>
    <t>Tarea 1.2</t>
  </si>
  <si>
    <t>Tarea 1.3</t>
  </si>
  <si>
    <t>Tarea 1.4</t>
  </si>
  <si>
    <t>Alvaro</t>
  </si>
  <si>
    <t>Mauro</t>
  </si>
  <si>
    <t>Tarea 2.1</t>
  </si>
  <si>
    <t>Tarea 2.2</t>
  </si>
  <si>
    <t>Tarea 2.3</t>
  </si>
  <si>
    <t>FASE 3</t>
  </si>
  <si>
    <t>Tarea 3.1</t>
  </si>
  <si>
    <t>Tarea 3.2</t>
  </si>
  <si>
    <t>Tarea 3.3</t>
  </si>
  <si>
    <t>Tarea 3.4</t>
  </si>
  <si>
    <t>Tarea 3.5</t>
  </si>
  <si>
    <t>INICIO DEL PROYECTO</t>
  </si>
  <si>
    <t xml:space="preserve"> =Y(G$5&gt;=$D7;G$5&lt;=$E7)</t>
  </si>
  <si>
    <t xml:space="preserve"> =Y(G$5&gt;=$D7;G$5&lt;=((($E7-$D7+1)*$C7)+$D7-1))</t>
  </si>
  <si>
    <t>((($E7-$D7+1)*$C7)+$D7-1)</t>
  </si>
  <si>
    <t>DISEÑO</t>
  </si>
  <si>
    <t>DESARROLLO</t>
  </si>
  <si>
    <t>ID</t>
  </si>
  <si>
    <t>Task</t>
  </si>
  <si>
    <t>Start</t>
  </si>
  <si>
    <t>End</t>
  </si>
  <si>
    <t>DurationDays</t>
  </si>
  <si>
    <t>HoursEstimated</t>
  </si>
  <si>
    <t>DependsOn</t>
  </si>
  <si>
    <t>Responsible</t>
  </si>
  <si>
    <t>PercentComplete</t>
  </si>
  <si>
    <t>HoursReal</t>
  </si>
  <si>
    <t>Description</t>
  </si>
  <si>
    <t>Notes</t>
  </si>
  <si>
    <t>T1</t>
  </si>
  <si>
    <t>Definición de requisitos</t>
  </si>
  <si>
    <t/>
  </si>
  <si>
    <t>Listar funcionalidades MVP: navegación, cámara, presión, IMU, leak, telemetría; criterios de éxito.</t>
  </si>
  <si>
    <t>T2</t>
  </si>
  <si>
    <t>Selección de sensores y BOM</t>
  </si>
  <si>
    <t>Álvaro</t>
  </si>
  <si>
    <t>Elegir modelos: sensor de presión, IMU, cámara, leak, INA226, DS18B20, LEDs, conectores; armar BOM con precios.</t>
  </si>
  <si>
    <t>T3</t>
  </si>
  <si>
    <t>Diseño mecánico / CAD</t>
  </si>
  <si>
    <t>T1;T2</t>
  </si>
  <si>
    <t>Boceto CAD del casco y soportes; puerto de aceite/bladder para sensor de presión.</t>
  </si>
  <si>
    <t>T4</t>
  </si>
  <si>
    <t>Diseño eléctrico preliminar</t>
  </si>
  <si>
    <t>T2;T3</t>
  </si>
  <si>
    <t>Diagrama de alimentación (tether 12V, buck), fusibles, distribución y conexiones de sensores.</t>
  </si>
  <si>
    <t>T5</t>
  </si>
  <si>
    <t>Evaluación de riesgos y plan de seguridad</t>
  </si>
  <si>
    <t>T1;T3;T4</t>
  </si>
  <si>
    <t>Equipo</t>
  </si>
  <si>
    <t>Procedimientos de prueba, checklist de estanqueidad, manejo de baterías y roles en pruebas.</t>
  </si>
  <si>
    <t>T6</t>
  </si>
  <si>
    <t>Compra de componentes y recepción</t>
  </si>
  <si>
    <t>Gestión de órdenes, control de recepción y verificación de componentes.</t>
  </si>
  <si>
    <t>T9</t>
  </si>
  <si>
    <t>Fabricación/ensamblado PCB o placa de conexión</t>
  </si>
  <si>
    <t>T4;T6</t>
  </si>
  <si>
    <t>Breakout para sensores I2C, convertidores, fusibles y puntos de test.</t>
  </si>
  <si>
    <t>T7</t>
  </si>
  <si>
    <t>Fabricación / mecanizado del casco</t>
  </si>
  <si>
    <t>T3;T6</t>
  </si>
  <si>
    <t>Mauro + taller</t>
  </si>
  <si>
    <t>Corte/fresado/impresión 3D/usinaje; preparación de tapas, O-rings y terminaciones.</t>
  </si>
  <si>
    <t>T10</t>
  </si>
  <si>
    <t>Cableado interno y conectores herméticos</t>
  </si>
  <si>
    <t>T8;T9</t>
  </si>
  <si>
    <t>Cableado desde placa a sensores, cámara y alimentación; pruebas de continuidad.</t>
  </si>
  <si>
    <t>T11</t>
  </si>
  <si>
    <t>Montaje de sensores y cámara</t>
  </si>
  <si>
    <t>T9;T8;T7</t>
  </si>
  <si>
    <t>Fijación de MS5837, IMU, leak sensor, DS18B20, INA226; posicionamiento de cámara y LEDs.</t>
  </si>
  <si>
    <t>T8</t>
  </si>
  <si>
    <t>Montaje bandejas/cajas internas y antivibración</t>
  </si>
  <si>
    <t>Soportes internos, separadores y aislación para IMU.</t>
  </si>
  <si>
    <t>T12</t>
  </si>
  <si>
    <t>Pruebas en seco (bench test)</t>
  </si>
  <si>
    <t>T10;T11</t>
  </si>
  <si>
    <t>Encender y comprobar comunicaciones I2C/USB, lectura de sensores y logging a PC.</t>
  </si>
  <si>
    <t>T13</t>
  </si>
  <si>
    <t>Calibración IMU y sensores</t>
  </si>
  <si>
    <t>Calibración acelerómetro/gyro/magnetómetro y parámetros de fusión (SW o BNO).</t>
  </si>
  <si>
    <t>T15</t>
  </si>
  <si>
    <t>Prueba de estanqueidad</t>
  </si>
  <si>
    <t>T7;T8</t>
  </si>
  <si>
    <t>Mauro + supervisor</t>
  </si>
  <si>
    <t>Test de O-rings y tapas (presurización o inmersión corta sin electrónica).</t>
  </si>
  <si>
    <t>T16</t>
  </si>
  <si>
    <t>Prueba en pileta pequeña</t>
  </si>
  <si>
    <t>T12;T13;T15</t>
  </si>
  <si>
    <t>Inmersión con telemetría; control simple de profundidad y validación de MS5837.</t>
  </si>
  <si>
    <t>T17</t>
  </si>
  <si>
    <t>Prueba de campo corta</t>
  </si>
  <si>
    <t>Navegación en muelle/pileta grande; inspección visual y rendimiento del tether.</t>
  </si>
  <si>
    <t>T18</t>
  </si>
  <si>
    <t>Prueba endurance (1h)</t>
  </si>
  <si>
    <t>Funcionamiento continuo con logs de consumo y temperatura interna.</t>
  </si>
  <si>
    <t>T19</t>
  </si>
  <si>
    <t>Ajustes finales y tuning</t>
  </si>
  <si>
    <t>T16;T17;T18</t>
  </si>
  <si>
    <t>Ajustes PID (si aplica), fijos de cableado y corrección de bugs.</t>
  </si>
  <si>
    <t>T20</t>
  </si>
  <si>
    <t>Redacción del informe técnico</t>
  </si>
  <si>
    <t>T12;T13;T16;T17;T18</t>
  </si>
  <si>
    <t>Memoria con diseño, esquemas, pruebas y resultados (PDF final).</t>
  </si>
  <si>
    <t>T21</t>
  </si>
  <si>
    <t>Manual de operación y checklist</t>
  </si>
  <si>
    <t>T15;T19</t>
  </si>
  <si>
    <t>Procedimiento de puesta en marcha, pruebas de estanqueidad y seguridad.</t>
  </si>
  <si>
    <t>T22</t>
  </si>
  <si>
    <t>Preparación póster y video demo</t>
  </si>
  <si>
    <t>T16;T17;T20</t>
  </si>
  <si>
    <t>Póster resumen + video 1-2 min con pruebas en pileta/field.</t>
  </si>
  <si>
    <t>T23</t>
  </si>
  <si>
    <t>Ensayo presentación/defensa</t>
  </si>
  <si>
    <t>T20;T22</t>
  </si>
  <si>
    <t>Práctica de exposición, slides y preparación de preguntas.</t>
  </si>
  <si>
    <t>T24</t>
  </si>
  <si>
    <t>Integrar altímetro sonar (opcional)</t>
  </si>
  <si>
    <t>T9;T11</t>
  </si>
  <si>
    <t>Instalación y pruebas de Ping1D o similar (opcional).</t>
  </si>
  <si>
    <t>T25</t>
  </si>
  <si>
    <t>Sensores ambientales (opcional)</t>
  </si>
  <si>
    <t>T6;T9</t>
  </si>
  <si>
    <t>Integrar pH, EC y turbidez; logging y pruebas (opcional).</t>
  </si>
  <si>
    <t>T26</t>
  </si>
  <si>
    <t>Mantenimiento predictivo (opcional)</t>
  </si>
  <si>
    <t>T12;T16</t>
  </si>
  <si>
    <t>Logs + análisis FFT de vibraciones; script de análisis (opcional).</t>
  </si>
  <si>
    <t>Tarea 1.5</t>
  </si>
  <si>
    <t>N°</t>
  </si>
  <si>
    <t xml:space="preserve">DURACIÓN </t>
  </si>
  <si>
    <t>HORAS</t>
  </si>
  <si>
    <t>CORRELATIVAS</t>
  </si>
  <si>
    <t>ESTIMADO</t>
  </si>
  <si>
    <t>REAL</t>
  </si>
  <si>
    <t>DESCRIPCIÓN</t>
  </si>
  <si>
    <t>OBSERVACIONES</t>
  </si>
  <si>
    <t>Tarea 2.5</t>
  </si>
  <si>
    <t>Tarea 2.6</t>
  </si>
  <si>
    <t>Tarea 2.4</t>
  </si>
  <si>
    <t>Tarea 3.6</t>
  </si>
  <si>
    <t>DÍAS</t>
  </si>
  <si>
    <t>DESVÍO</t>
  </si>
  <si>
    <t xml:space="preserve"> </t>
  </si>
  <si>
    <t>ROV SUBMARINO</t>
  </si>
  <si>
    <t>Prueba y programación del MPU-6050</t>
  </si>
  <si>
    <t>Prueba de servomotores</t>
  </si>
  <si>
    <t>Desarrollo de software para integrar todos los sensores simultáneamente</t>
  </si>
  <si>
    <t>Prueba de motores brushless A2212 con ESC</t>
  </si>
  <si>
    <t>Integración electrónica de los 4 motores (circuito con ESCs)</t>
  </si>
  <si>
    <t>Validación conjunta de software y electrónica</t>
  </si>
  <si>
    <t>Tarea 1.6</t>
  </si>
  <si>
    <t>Tarea 1.7</t>
  </si>
  <si>
    <t>-</t>
  </si>
  <si>
    <t>ETAPA 1</t>
  </si>
  <si>
    <t>ETAPA 2</t>
  </si>
  <si>
    <t>Hito 1</t>
  </si>
  <si>
    <t>Entrega parcial con motores y sensores funcionando. Objetivo: Tener motores y sensores funcionando por separado, con sus drivers y software.</t>
  </si>
  <si>
    <t>Armado inicial del chasis</t>
  </si>
  <si>
    <t>Montaje de motores y sensores en chasis</t>
  </si>
  <si>
    <t>Integración de electrónica en el ROV</t>
  </si>
  <si>
    <t>Prueba de cámara con transmisión básica</t>
  </si>
  <si>
    <t>Validación de integración software + hardware (versión de prueba)</t>
  </si>
  <si>
    <t>Hito 2</t>
  </si>
  <si>
    <t>Ajustes finales de chasis y mecánica</t>
  </si>
  <si>
    <t>Desarrollo de software de control remoto completo</t>
  </si>
  <si>
    <t>Integración de transmisión en vivo estable</t>
  </si>
  <si>
    <t>Integración final de electrónica con protecciones</t>
  </si>
  <si>
    <t>Pruebas de campo del ROV (control remoto + sensado + video)</t>
  </si>
  <si>
    <t>Documentación y preparación de la entrega final</t>
  </si>
  <si>
    <t>Hito Final</t>
  </si>
  <si>
    <t>Entrega del ROV terminado y funcional. Objetivo: ROV terminado, control remoto y transmisión en vivo de video.</t>
  </si>
  <si>
    <t>Entrega parcial con ROV armado e integración funcional. Objetivo: ROV parcialmente armado, con chasis, motores y sensores integrados, junto con versión de prueba de control y cámara.</t>
  </si>
  <si>
    <t>ETAPA 3</t>
  </si>
  <si>
    <t>1.5</t>
  </si>
  <si>
    <t>1.4; 1.6</t>
  </si>
  <si>
    <t>1.1; 1.2; 1.3</t>
  </si>
  <si>
    <t>1.7</t>
  </si>
  <si>
    <t>2.1</t>
  </si>
  <si>
    <t>2.2</t>
  </si>
  <si>
    <t>2.3; 2.4; 2.5</t>
  </si>
  <si>
    <t>2.6</t>
  </si>
  <si>
    <t>2.5</t>
  </si>
  <si>
    <t>3.1; 3.2; 3.3; 3.4</t>
  </si>
  <si>
    <t>3.5</t>
  </si>
  <si>
    <t xml:space="preserve">Prueba y programación de temperatura, humedad y presión </t>
  </si>
  <si>
    <t>Software integrador de sensores</t>
  </si>
  <si>
    <t>Mauro Ramiro Barrientos</t>
  </si>
  <si>
    <t>Alvaro Santamaria</t>
  </si>
  <si>
    <t>Prueba de motores</t>
  </si>
  <si>
    <t xml:space="preserve">Integración de motores </t>
  </si>
  <si>
    <t>Validación conjunta SW y electrónica</t>
  </si>
  <si>
    <t>Montaje de motores y sensores</t>
  </si>
  <si>
    <t>Software de control básico (motores + sensores)</t>
  </si>
  <si>
    <t>Software de control básico</t>
  </si>
  <si>
    <t>Prueba de cámara</t>
  </si>
  <si>
    <t>Validación SW + hardwar</t>
  </si>
  <si>
    <t>Prueba y programación del MPU</t>
  </si>
  <si>
    <t xml:space="preserve">Prueba y programación T, hum, P. </t>
  </si>
  <si>
    <t>SW control remoto completo</t>
  </si>
  <si>
    <t>Transmisión en vivo</t>
  </si>
  <si>
    <t>Integración electrónica</t>
  </si>
  <si>
    <t>Pruebas de campo</t>
  </si>
  <si>
    <t>Documentación y entrega</t>
  </si>
  <si>
    <t>A CARGO</t>
  </si>
  <si>
    <t>ROV PARA INSPECCIÓN SUBACUÁTICA</t>
  </si>
  <si>
    <t>31/04/2026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</si>
</sst>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ddd\,\ dd/mm/yyyy"/>
    <numFmt numFmtId="166" formatCode="dd"/>
  </numFmts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28"/>
      <color theme="5"/>
      <name val="Aptos Narrow"/>
      <family val="2"/>
      <scheme val="minor"/>
    </font>
    <font>
      <i/>
      <sz val="16"/>
      <color theme="1"/>
      <name val="Aptos Narrow"/>
      <family val="2"/>
      <scheme val="minor"/>
    </font>
    <font>
      <b/>
      <i/>
      <sz val="11"/>
      <color theme="5" tint="-0.249977111117893"/>
      <name val="Aptos Narrow"/>
      <family val="2"/>
      <scheme val="minor"/>
    </font>
    <font>
      <b/>
      <i/>
      <sz val="11"/>
      <color theme="5" tint="-0.24994659260841701"/>
      <name val="Aptos Narrow"/>
      <family val="2"/>
      <scheme val="minor"/>
    </font>
    <font>
      <b/>
      <sz val="22"/>
      <color theme="5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5" fillId="5" borderId="0" xfId="0" applyNumberFormat="1" applyFont="1" applyFill="1" applyAlignment="1">
      <alignment horizontal="center" vertical="center"/>
    </xf>
    <xf numFmtId="0" fontId="3" fillId="2" borderId="0" xfId="0" applyFont="1" applyFill="1"/>
    <xf numFmtId="0" fontId="6" fillId="2" borderId="0" xfId="0" applyFont="1" applyFill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9" fontId="0" fillId="0" borderId="1" xfId="0" applyNumberFormat="1" applyBorder="1"/>
    <xf numFmtId="164" fontId="0" fillId="0" borderId="1" xfId="0" applyNumberFormat="1" applyBorder="1"/>
    <xf numFmtId="14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164" fontId="10" fillId="0" borderId="1" xfId="0" applyNumberFormat="1" applyFont="1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9" fontId="0" fillId="0" borderId="2" xfId="0" applyNumberFormat="1" applyBorder="1" applyAlignment="1">
      <alignment horizontal="center" vertical="center"/>
    </xf>
    <xf numFmtId="164" fontId="0" fillId="0" borderId="2" xfId="0" applyNumberFormat="1" applyBorder="1"/>
    <xf numFmtId="0" fontId="9" fillId="0" borderId="0" xfId="0" applyFont="1"/>
    <xf numFmtId="9" fontId="0" fillId="0" borderId="0" xfId="0" applyNumberFormat="1" applyAlignment="1">
      <alignment horizontal="center" vertical="center"/>
    </xf>
    <xf numFmtId="0" fontId="2" fillId="0" borderId="0" xfId="0" applyFont="1"/>
    <xf numFmtId="164" fontId="0" fillId="0" borderId="0" xfId="0" applyNumberFormat="1"/>
    <xf numFmtId="166" fontId="5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left"/>
    </xf>
    <xf numFmtId="165" fontId="2" fillId="6" borderId="0" xfId="0" applyNumberFormat="1" applyFont="1" applyFill="1" applyAlignment="1">
      <alignment horizontal="left"/>
    </xf>
    <xf numFmtId="0" fontId="0" fillId="3" borderId="0" xfId="0" applyFill="1" applyAlignment="1">
      <alignment horizontal="center" vertical="center"/>
    </xf>
    <xf numFmtId="165" fontId="0" fillId="4" borderId="0" xfId="0" applyNumberFormat="1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36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00B05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d/m/yyyy"/>
    </dxf>
    <dxf>
      <numFmt numFmtId="167" formatCode="d/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10/relationships/person" Target="persons/person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Scroll" dx="26" fmlaLink="$D$4" horiz="1" max="100" page="10" val="100"/>
</file>

<file path=xl/ctrlProps/ctrlProp2.xml><?xml version="1.0" encoding="utf-8"?>
<formControlPr xmlns="http://schemas.microsoft.com/office/spreadsheetml/2009/9/main" objectType="Scroll" dx="26" fmlaLink="$B$6" horiz="1" max="80" page="10" val="0"/>
</file>

<file path=xl/ctrlProps/ctrlProp3.xml><?xml version="1.0" encoding="utf-8"?>
<formControlPr xmlns="http://schemas.microsoft.com/office/spreadsheetml/2009/9/main" objectType="Scroll" dx="26" fmlaLink="$B$6" horiz="1" max="80" page="10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</xdr:row>
          <xdr:rowOff>0</xdr:rowOff>
        </xdr:from>
        <xdr:to>
          <xdr:col>5</xdr:col>
          <xdr:colOff>0</xdr:colOff>
          <xdr:row>4</xdr:row>
          <xdr:rowOff>0</xdr:rowOff>
        </xdr:to>
        <xdr:sp macro="" textlink="">
          <xdr:nvSpPr>
            <xdr:cNvPr id="1029" name="Scroll Bar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3</xdr:col>
          <xdr:colOff>0</xdr:colOff>
          <xdr:row>6</xdr:row>
          <xdr:rowOff>0</xdr:rowOff>
        </xdr:to>
        <xdr:sp macro="" textlink="">
          <xdr:nvSpPr>
            <xdr:cNvPr id="6145" name="Scroll Bar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3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3</xdr:col>
          <xdr:colOff>0</xdr:colOff>
          <xdr:row>6</xdr:row>
          <xdr:rowOff>0</xdr:rowOff>
        </xdr:to>
        <xdr:sp macro="" textlink="">
          <xdr:nvSpPr>
            <xdr:cNvPr id="7169" name="Scroll Bar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4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04934AA-BBF2-4E71-91EF-70518310BFA7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Task" tableColumnId="2"/>
      <queryTableField id="3" name="Start" tableColumnId="3"/>
      <queryTableField id="4" name="End" tableColumnId="4"/>
      <queryTableField id="5" name="DurationDays" tableColumnId="5"/>
      <queryTableField id="6" name="HoursEstimated" tableColumnId="6"/>
      <queryTableField id="7" name="DependsOn" tableColumnId="7"/>
      <queryTableField id="8" name="Responsible" tableColumnId="8"/>
      <queryTableField id="9" name="PercentComplete" tableColumnId="9"/>
      <queryTableField id="10" name="HoursReal" tableColumnId="10"/>
      <queryTableField id="11" name="Description" tableColumnId="11"/>
      <queryTableField id="12" name="Not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64B082-EBDE-4B94-B5DA-B5C2B24E06DA}" name="Tareas_ROV" displayName="Tareas_ROV" ref="A1:L26" tableType="queryTable" totalsRowShown="0">
  <autoFilter ref="A1:L26" xr:uid="{5D64B082-EBDE-4B94-B5DA-B5C2B24E06DA}"/>
  <tableColumns count="12">
    <tableColumn id="1" xr3:uid="{E6CD7D62-2A43-4D44-90D0-DAEDEB34F84F}" uniqueName="1" name="ID" queryTableFieldId="1" dataDxfId="35"/>
    <tableColumn id="2" xr3:uid="{EE1FB163-6A07-407B-80F7-B12146176EC3}" uniqueName="2" name="Task" queryTableFieldId="2" dataDxfId="34"/>
    <tableColumn id="3" xr3:uid="{470AD21C-7EFC-46C0-AADA-02F55C00AA29}" uniqueName="3" name="Start" queryTableFieldId="3" dataDxfId="33"/>
    <tableColumn id="4" xr3:uid="{CDC18EB9-16A1-4564-8830-DFC635ADA40B}" uniqueName="4" name="End" queryTableFieldId="4" dataDxfId="32"/>
    <tableColumn id="5" xr3:uid="{6D5A5D46-1B4F-4274-80A5-2C1237549F4C}" uniqueName="5" name="DurationDays" queryTableFieldId="5"/>
    <tableColumn id="6" xr3:uid="{7B96CDE1-B265-44DC-9A44-2C5B4C9D3C7D}" uniqueName="6" name="HoursEstimated" queryTableFieldId="6"/>
    <tableColumn id="7" xr3:uid="{79575DA2-6425-4193-BAFF-1D67141BCE22}" uniqueName="7" name="DependsOn" queryTableFieldId="7" dataDxfId="31"/>
    <tableColumn id="8" xr3:uid="{4F345EDF-4C8F-45F7-8C3F-323777D716BD}" uniqueName="8" name="Responsible" queryTableFieldId="8" dataDxfId="30"/>
    <tableColumn id="9" xr3:uid="{759194FA-BC37-440E-B424-1DA9E377DCF7}" uniqueName="9" name="PercentComplete" queryTableFieldId="9"/>
    <tableColumn id="10" xr3:uid="{13D304DC-FAF8-4CA3-9885-308E2C77E7FE}" uniqueName="10" name="HoursReal" queryTableFieldId="10" dataDxfId="29"/>
    <tableColumn id="11" xr3:uid="{EFFAC105-8C0D-4937-985A-31AE84B0FAEE}" uniqueName="11" name="Description" queryTableFieldId="11" dataDxfId="28"/>
    <tableColumn id="12" xr3:uid="{8452A1A4-7D9F-4DDB-8A5E-A4050DC7C96A}" uniqueName="12" name="Notes" queryTableFieldId="12" dataDxf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8F328-76F0-48AF-8693-8E0C2425A51D}">
  <dimension ref="A1:AJ22"/>
  <sheetViews>
    <sheetView showGridLines="0" zoomScaleNormal="100" workbookViewId="0">
      <selection activeCell="C25" sqref="C25"/>
    </sheetView>
  </sheetViews>
  <sheetFormatPr baseColWidth="10" defaultRowHeight="15" x14ac:dyDescent="0.25"/>
  <cols>
    <col min="1" max="2" width="15.7109375" customWidth="1"/>
    <col min="3" max="5" width="11.7109375" customWidth="1"/>
    <col min="7" max="34" width="3.7109375" customWidth="1"/>
  </cols>
  <sheetData>
    <row r="1" spans="1:36" x14ac:dyDescent="0.25">
      <c r="AJ1" t="s">
        <v>21</v>
      </c>
    </row>
    <row r="2" spans="1:36" x14ac:dyDescent="0.25">
      <c r="AJ2" t="s">
        <v>22</v>
      </c>
    </row>
    <row r="3" spans="1:36" x14ac:dyDescent="0.25">
      <c r="AJ3" t="s">
        <v>23</v>
      </c>
    </row>
    <row r="4" spans="1:36" x14ac:dyDescent="0.25">
      <c r="D4">
        <v>100</v>
      </c>
      <c r="E4" s="3">
        <f>D5+D4</f>
        <v>46218</v>
      </c>
      <c r="G4" s="31">
        <f>G5</f>
        <v>46218</v>
      </c>
      <c r="H4" s="31"/>
      <c r="I4" s="31"/>
      <c r="J4" s="31"/>
      <c r="K4" s="31"/>
      <c r="L4" s="31"/>
      <c r="M4" s="31"/>
      <c r="N4" s="31">
        <f>N5</f>
        <v>46225</v>
      </c>
      <c r="O4" s="31"/>
      <c r="P4" s="31"/>
      <c r="Q4" s="31"/>
      <c r="R4" s="31"/>
      <c r="S4" s="31"/>
      <c r="T4" s="31"/>
      <c r="U4" s="31">
        <f>U5</f>
        <v>46232</v>
      </c>
      <c r="V4" s="31"/>
      <c r="W4" s="31"/>
      <c r="X4" s="31"/>
      <c r="Y4" s="31"/>
      <c r="Z4" s="31"/>
      <c r="AA4" s="31"/>
      <c r="AB4" s="31">
        <f>AB5</f>
        <v>46239</v>
      </c>
      <c r="AC4" s="31"/>
      <c r="AD4" s="31"/>
      <c r="AE4" s="31"/>
      <c r="AF4" s="31"/>
      <c r="AG4" s="31"/>
      <c r="AH4" s="31"/>
    </row>
    <row r="5" spans="1:36" x14ac:dyDescent="0.25">
      <c r="B5" s="38" t="s">
        <v>20</v>
      </c>
      <c r="C5" s="38"/>
      <c r="D5" s="33">
        <v>46118</v>
      </c>
      <c r="E5" s="33"/>
      <c r="F5" s="1"/>
      <c r="G5" s="4">
        <f>E4</f>
        <v>46218</v>
      </c>
      <c r="H5" s="4">
        <f>G5+1</f>
        <v>46219</v>
      </c>
      <c r="I5" s="4">
        <f t="shared" ref="I5:W5" si="0">H5+1</f>
        <v>46220</v>
      </c>
      <c r="J5" s="4">
        <f t="shared" si="0"/>
        <v>46221</v>
      </c>
      <c r="K5" s="4">
        <f t="shared" si="0"/>
        <v>46222</v>
      </c>
      <c r="L5" s="4">
        <f t="shared" si="0"/>
        <v>46223</v>
      </c>
      <c r="M5" s="4">
        <f t="shared" si="0"/>
        <v>46224</v>
      </c>
      <c r="N5" s="4">
        <f t="shared" si="0"/>
        <v>46225</v>
      </c>
      <c r="O5" s="4">
        <f t="shared" si="0"/>
        <v>46226</v>
      </c>
      <c r="P5" s="4">
        <f t="shared" si="0"/>
        <v>46227</v>
      </c>
      <c r="Q5" s="4">
        <f t="shared" si="0"/>
        <v>46228</v>
      </c>
      <c r="R5" s="4">
        <f t="shared" si="0"/>
        <v>46229</v>
      </c>
      <c r="S5" s="4">
        <f t="shared" si="0"/>
        <v>46230</v>
      </c>
      <c r="T5" s="4">
        <f t="shared" si="0"/>
        <v>46231</v>
      </c>
      <c r="U5" s="4">
        <f t="shared" si="0"/>
        <v>46232</v>
      </c>
      <c r="V5" s="4">
        <f t="shared" si="0"/>
        <v>46233</v>
      </c>
      <c r="W5" s="4">
        <f t="shared" si="0"/>
        <v>46234</v>
      </c>
      <c r="X5" s="4">
        <f>W5+1</f>
        <v>46235</v>
      </c>
      <c r="Y5" s="4">
        <f t="shared" ref="Y5:AC5" si="1">X5+1</f>
        <v>46236</v>
      </c>
      <c r="Z5" s="4">
        <f t="shared" si="1"/>
        <v>46237</v>
      </c>
      <c r="AA5" s="4">
        <f t="shared" si="1"/>
        <v>46238</v>
      </c>
      <c r="AB5" s="4">
        <f t="shared" si="1"/>
        <v>46239</v>
      </c>
      <c r="AC5" s="4">
        <f t="shared" si="1"/>
        <v>46240</v>
      </c>
      <c r="AD5" s="4">
        <f t="shared" ref="AD5:AF5" si="2">AC5+1</f>
        <v>46241</v>
      </c>
      <c r="AE5" s="4">
        <f t="shared" si="2"/>
        <v>46242</v>
      </c>
      <c r="AF5" s="4">
        <f t="shared" si="2"/>
        <v>46243</v>
      </c>
      <c r="AG5" s="4">
        <f t="shared" ref="AG5:AH5" si="3">AF5+1</f>
        <v>46244</v>
      </c>
      <c r="AH5" s="4">
        <f t="shared" si="3"/>
        <v>46245</v>
      </c>
    </row>
    <row r="6" spans="1:36" ht="15.75" thickBot="1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5"/>
      <c r="G6" s="6" t="str">
        <f>UPPER(LEFT(TEXT(G5,"ddd"),1))</f>
        <v>M</v>
      </c>
      <c r="H6" s="6" t="str">
        <f t="shared" ref="H6:AC6" si="4">UPPER(LEFT(TEXT(H5,"ddd"),1))</f>
        <v>J</v>
      </c>
      <c r="I6" s="6" t="str">
        <f t="shared" si="4"/>
        <v>V</v>
      </c>
      <c r="J6" s="6" t="str">
        <f t="shared" si="4"/>
        <v>S</v>
      </c>
      <c r="K6" s="6" t="str">
        <f t="shared" si="4"/>
        <v>D</v>
      </c>
      <c r="L6" s="6" t="str">
        <f t="shared" si="4"/>
        <v>L</v>
      </c>
      <c r="M6" s="6" t="str">
        <f t="shared" si="4"/>
        <v>M</v>
      </c>
      <c r="N6" s="6" t="str">
        <f t="shared" si="4"/>
        <v>M</v>
      </c>
      <c r="O6" s="6" t="str">
        <f t="shared" si="4"/>
        <v>J</v>
      </c>
      <c r="P6" s="6" t="str">
        <f t="shared" si="4"/>
        <v>V</v>
      </c>
      <c r="Q6" s="6" t="str">
        <f t="shared" si="4"/>
        <v>S</v>
      </c>
      <c r="R6" s="6" t="str">
        <f t="shared" si="4"/>
        <v>D</v>
      </c>
      <c r="S6" s="6" t="str">
        <f t="shared" si="4"/>
        <v>L</v>
      </c>
      <c r="T6" s="6" t="str">
        <f t="shared" si="4"/>
        <v>M</v>
      </c>
      <c r="U6" s="6" t="str">
        <f t="shared" si="4"/>
        <v>M</v>
      </c>
      <c r="V6" s="6" t="str">
        <f t="shared" si="4"/>
        <v>J</v>
      </c>
      <c r="W6" s="6" t="str">
        <f t="shared" si="4"/>
        <v>V</v>
      </c>
      <c r="X6" s="6" t="str">
        <f t="shared" si="4"/>
        <v>S</v>
      </c>
      <c r="Y6" s="6" t="str">
        <f t="shared" si="4"/>
        <v>D</v>
      </c>
      <c r="Z6" s="6" t="str">
        <f t="shared" si="4"/>
        <v>L</v>
      </c>
      <c r="AA6" s="6" t="str">
        <f t="shared" si="4"/>
        <v>M</v>
      </c>
      <c r="AB6" s="6" t="str">
        <f t="shared" si="4"/>
        <v>M</v>
      </c>
      <c r="AC6" s="6" t="str">
        <f t="shared" si="4"/>
        <v>J</v>
      </c>
      <c r="AD6" s="6" t="str">
        <f t="shared" ref="AD6" si="5">UPPER(LEFT(TEXT(AD5,"ddd"),1))</f>
        <v>V</v>
      </c>
      <c r="AE6" s="6" t="str">
        <f t="shared" ref="AE6" si="6">UPPER(LEFT(TEXT(AE5,"ddd"),1))</f>
        <v>S</v>
      </c>
      <c r="AF6" s="6" t="str">
        <f t="shared" ref="AF6" si="7">UPPER(LEFT(TEXT(AF5,"ddd"),1))</f>
        <v>D</v>
      </c>
      <c r="AG6" s="6" t="str">
        <f t="shared" ref="AG6" si="8">UPPER(LEFT(TEXT(AG5,"ddd"),1))</f>
        <v>L</v>
      </c>
      <c r="AH6" s="6" t="str">
        <f t="shared" ref="AH6" si="9">UPPER(LEFT(TEXT(AH5,"ddd"),1))</f>
        <v>M</v>
      </c>
    </row>
    <row r="7" spans="1:36" ht="15.75" thickBot="1" x14ac:dyDescent="0.3">
      <c r="A7" s="7" t="s">
        <v>24</v>
      </c>
      <c r="B7" s="8"/>
      <c r="C7" s="9"/>
      <c r="D7" s="10"/>
      <c r="E7" s="10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6" ht="15.75" thickBot="1" x14ac:dyDescent="0.3">
      <c r="A8" s="8" t="s">
        <v>5</v>
      </c>
      <c r="B8" s="8" t="s">
        <v>10</v>
      </c>
      <c r="C8" s="9">
        <v>0.5</v>
      </c>
      <c r="D8" s="10">
        <v>46118</v>
      </c>
      <c r="E8" s="10">
        <v>46123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6" ht="15.75" thickBot="1" x14ac:dyDescent="0.3">
      <c r="A9" s="8" t="s">
        <v>6</v>
      </c>
      <c r="B9" s="8" t="s">
        <v>9</v>
      </c>
      <c r="C9" s="9">
        <v>0.2</v>
      </c>
      <c r="D9" s="10">
        <v>46129</v>
      </c>
      <c r="E9" s="10">
        <v>46134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6" ht="15.75" thickBot="1" x14ac:dyDescent="0.3">
      <c r="A10" s="8" t="s">
        <v>7</v>
      </c>
      <c r="B10" s="8" t="s">
        <v>10</v>
      </c>
      <c r="C10" s="9">
        <v>1</v>
      </c>
      <c r="D10" s="10">
        <v>46130</v>
      </c>
      <c r="E10" s="10">
        <v>46135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6" ht="15.75" thickBot="1" x14ac:dyDescent="0.3">
      <c r="A11" s="8"/>
      <c r="B11" s="8" t="s">
        <v>9</v>
      </c>
      <c r="C11" s="9"/>
      <c r="D11" s="10"/>
      <c r="E11" s="10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6" ht="15.75" thickBot="1" x14ac:dyDescent="0.3">
      <c r="A12" s="8" t="s">
        <v>8</v>
      </c>
      <c r="B12" s="8" t="s">
        <v>10</v>
      </c>
      <c r="C12" s="9">
        <v>1</v>
      </c>
      <c r="D12" s="10">
        <v>46135</v>
      </c>
      <c r="E12" s="10">
        <v>46140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6" ht="15.75" thickBot="1" x14ac:dyDescent="0.3">
      <c r="A13" s="7" t="s">
        <v>25</v>
      </c>
      <c r="B13" s="8"/>
      <c r="C13" s="9"/>
      <c r="D13" s="10"/>
      <c r="E13" s="10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6" ht="15.75" thickBot="1" x14ac:dyDescent="0.3">
      <c r="A14" s="8" t="s">
        <v>11</v>
      </c>
      <c r="B14" s="8" t="s">
        <v>9</v>
      </c>
      <c r="C14" s="9">
        <v>0.3</v>
      </c>
      <c r="D14" s="10">
        <v>46137</v>
      </c>
      <c r="E14" s="10">
        <v>46142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6" ht="15.75" thickBot="1" x14ac:dyDescent="0.3">
      <c r="A15" s="8" t="s">
        <v>12</v>
      </c>
      <c r="B15" s="8" t="s">
        <v>10</v>
      </c>
      <c r="C15" s="9">
        <v>0.5</v>
      </c>
      <c r="D15" s="10">
        <v>46138</v>
      </c>
      <c r="E15" s="10" t="s">
        <v>214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6" ht="15.75" thickBot="1" x14ac:dyDescent="0.3">
      <c r="A16" s="8" t="s">
        <v>13</v>
      </c>
      <c r="B16" s="8" t="s">
        <v>9</v>
      </c>
      <c r="C16" s="9">
        <v>0.1</v>
      </c>
      <c r="D16" s="10">
        <v>46139</v>
      </c>
      <c r="E16" s="10">
        <v>46113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 ht="15.75" thickBot="1" x14ac:dyDescent="0.3">
      <c r="A17" s="7" t="s">
        <v>14</v>
      </c>
      <c r="B17" s="8"/>
      <c r="C17" s="9"/>
      <c r="D17" s="10"/>
      <c r="E17" s="10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 ht="15.75" thickBot="1" x14ac:dyDescent="0.3">
      <c r="A18" s="8" t="s">
        <v>15</v>
      </c>
      <c r="B18" s="8" t="s">
        <v>9</v>
      </c>
      <c r="C18" s="9">
        <v>0.8</v>
      </c>
      <c r="D18" s="10">
        <v>46141</v>
      </c>
      <c r="E18" s="10">
        <v>46145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 ht="15.75" thickBot="1" x14ac:dyDescent="0.3">
      <c r="A19" s="8" t="s">
        <v>16</v>
      </c>
      <c r="B19" s="8" t="s">
        <v>10</v>
      </c>
      <c r="C19" s="9">
        <v>0.9</v>
      </c>
      <c r="D19" s="10">
        <v>46142</v>
      </c>
      <c r="E19" s="10">
        <v>46146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 ht="15.75" thickBot="1" x14ac:dyDescent="0.3">
      <c r="A20" s="8" t="s">
        <v>17</v>
      </c>
      <c r="B20" s="8" t="s">
        <v>9</v>
      </c>
      <c r="C20" s="9">
        <v>0.5</v>
      </c>
      <c r="D20" s="10" t="s">
        <v>214</v>
      </c>
      <c r="E20" s="10">
        <v>46147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 ht="15.75" thickBot="1" x14ac:dyDescent="0.3">
      <c r="A21" s="8" t="s">
        <v>18</v>
      </c>
      <c r="B21" s="8" t="s">
        <v>10</v>
      </c>
      <c r="C21" s="9">
        <v>0.65</v>
      </c>
      <c r="D21" s="10">
        <v>46143</v>
      </c>
      <c r="E21" s="10">
        <v>46148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 ht="15.75" thickBot="1" x14ac:dyDescent="0.3">
      <c r="A22" s="8" t="s">
        <v>19</v>
      </c>
      <c r="B22" s="8" t="s">
        <v>9</v>
      </c>
      <c r="C22" s="9">
        <v>0.7</v>
      </c>
      <c r="D22" s="10">
        <v>46144</v>
      </c>
      <c r="E22" s="10">
        <v>46149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</sheetData>
  <mergeCells count="6">
    <mergeCell ref="AB4:AH4"/>
    <mergeCell ref="B5:C5"/>
    <mergeCell ref="D5:E5"/>
    <mergeCell ref="G4:M4"/>
    <mergeCell ref="N4:T4"/>
    <mergeCell ref="U4:AA4"/>
  </mergeCells>
  <phoneticPr fontId="4" type="noConversion"/>
  <conditionalFormatting sqref="C7:C22">
    <cfRule type="dataBar" priority="4">
      <dataBar>
        <cfvo type="num" val="0"/>
        <cfvo type="num" val="1"/>
        <color theme="6" tint="0.59999389629810485"/>
      </dataBar>
      <extLst>
        <ext xmlns:x14="http://schemas.microsoft.com/office/spreadsheetml/2009/9/main" uri="{B025F937-C7B1-47D3-B67F-A62EFF666E3E}">
          <x14:id>{92EAD0C1-14E1-48E2-A8DB-EA66C7D3A160}</x14:id>
        </ext>
      </extLst>
    </cfRule>
  </conditionalFormatting>
  <conditionalFormatting sqref="G7:AH22">
    <cfRule type="expression" dxfId="26" priority="1">
      <formula>G$5=TODAY()</formula>
    </cfRule>
    <cfRule type="expression" dxfId="25" priority="2">
      <formula>AND(G$5&gt;=$D7,G$5&lt;=((($E7-$D7+1)*$C7)+$D7-1))</formula>
    </cfRule>
    <cfRule type="expression" dxfId="24" priority="3">
      <formula>AND(G$5&gt;=$D7,G$5&lt;=$E7)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3" name="Scroll Bar 5">
              <controlPr defaultSize="0" autoPict="0">
                <anchor moveWithCells="1">
                  <from>
                    <xdr:col>3</xdr:col>
                    <xdr:colOff>0</xdr:colOff>
                    <xdr:row>3</xdr:row>
                    <xdr:rowOff>0</xdr:rowOff>
                  </from>
                  <to>
                    <xdr:col>5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EAD0C1-14E1-48E2-A8DB-EA66C7D3A16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theme="6" tint="0.59999389629810485"/>
              <x14:negativeFillColor rgb="FFFF0000"/>
              <x14:negativeBorderColor rgb="FFFF0000"/>
              <x14:axisColor rgb="FF000000"/>
            </x14:dataBar>
          </x14:cfRule>
          <xm:sqref>C7:C22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3DFE3-7993-4042-9066-14B6FC10C11C}">
  <dimension ref="A1:L26"/>
  <sheetViews>
    <sheetView workbookViewId="0">
      <selection activeCell="B3" sqref="B3"/>
    </sheetView>
  </sheetViews>
  <sheetFormatPr baseColWidth="10" defaultRowHeight="15" x14ac:dyDescent="0.25"/>
  <cols>
    <col min="1" max="1" width="5" bestFit="1" customWidth="1"/>
    <col min="2" max="2" width="41.42578125" bestFit="1" customWidth="1"/>
    <col min="3" max="4" width="10.28515625" bestFit="1" customWidth="1"/>
    <col min="5" max="5" width="14.28515625" bestFit="1" customWidth="1"/>
    <col min="6" max="6" width="16.7109375" bestFit="1" customWidth="1"/>
    <col min="7" max="7" width="17.7109375" bestFit="1" customWidth="1"/>
    <col min="8" max="8" width="16.28515625" bestFit="1" customWidth="1"/>
    <col min="9" max="9" width="17.85546875" bestFit="1" customWidth="1"/>
    <col min="10" max="10" width="11.7109375" bestFit="1" customWidth="1"/>
    <col min="11" max="11" width="80.85546875" bestFit="1" customWidth="1"/>
    <col min="12" max="12" width="8.140625" bestFit="1" customWidth="1"/>
  </cols>
  <sheetData>
    <row r="1" spans="1:12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  <row r="2" spans="1:12" x14ac:dyDescent="0.25">
      <c r="A2" t="s">
        <v>38</v>
      </c>
      <c r="B2" t="s">
        <v>39</v>
      </c>
      <c r="C2" s="11">
        <v>46134</v>
      </c>
      <c r="D2" s="11">
        <v>46135</v>
      </c>
      <c r="E2">
        <v>1</v>
      </c>
      <c r="F2">
        <v>6</v>
      </c>
      <c r="G2" t="s">
        <v>40</v>
      </c>
      <c r="H2" t="s">
        <v>10</v>
      </c>
      <c r="I2">
        <v>0</v>
      </c>
      <c r="J2" t="s">
        <v>40</v>
      </c>
      <c r="K2" t="s">
        <v>41</v>
      </c>
      <c r="L2" t="s">
        <v>40</v>
      </c>
    </row>
    <row r="3" spans="1:12" x14ac:dyDescent="0.25">
      <c r="A3" t="s">
        <v>42</v>
      </c>
      <c r="B3" t="s">
        <v>43</v>
      </c>
      <c r="C3" s="11">
        <v>46136</v>
      </c>
      <c r="D3" s="11">
        <v>46137</v>
      </c>
      <c r="E3">
        <v>1</v>
      </c>
      <c r="F3">
        <v>4</v>
      </c>
      <c r="G3" t="s">
        <v>38</v>
      </c>
      <c r="H3" t="s">
        <v>44</v>
      </c>
      <c r="I3">
        <v>0</v>
      </c>
      <c r="J3" t="s">
        <v>40</v>
      </c>
      <c r="K3" t="s">
        <v>45</v>
      </c>
      <c r="L3" t="s">
        <v>40</v>
      </c>
    </row>
    <row r="4" spans="1:12" x14ac:dyDescent="0.25">
      <c r="A4" t="s">
        <v>46</v>
      </c>
      <c r="B4" t="s">
        <v>47</v>
      </c>
      <c r="C4" s="11">
        <v>46138</v>
      </c>
      <c r="D4" s="11">
        <v>46143</v>
      </c>
      <c r="E4">
        <v>2</v>
      </c>
      <c r="F4">
        <v>10</v>
      </c>
      <c r="G4" t="s">
        <v>48</v>
      </c>
      <c r="H4" t="s">
        <v>10</v>
      </c>
      <c r="I4">
        <v>0</v>
      </c>
      <c r="J4" t="s">
        <v>40</v>
      </c>
      <c r="K4" t="s">
        <v>49</v>
      </c>
      <c r="L4" t="s">
        <v>40</v>
      </c>
    </row>
    <row r="5" spans="1:12" x14ac:dyDescent="0.25">
      <c r="A5" t="s">
        <v>50</v>
      </c>
      <c r="B5" t="s">
        <v>51</v>
      </c>
      <c r="C5" s="11">
        <v>46144</v>
      </c>
      <c r="D5" s="11">
        <v>46146</v>
      </c>
      <c r="E5">
        <v>1</v>
      </c>
      <c r="F5">
        <v>8</v>
      </c>
      <c r="G5" t="s">
        <v>52</v>
      </c>
      <c r="H5" t="s">
        <v>44</v>
      </c>
      <c r="I5">
        <v>0</v>
      </c>
      <c r="J5" t="s">
        <v>40</v>
      </c>
      <c r="K5" t="s">
        <v>53</v>
      </c>
      <c r="L5" t="s">
        <v>40</v>
      </c>
    </row>
    <row r="6" spans="1:12" x14ac:dyDescent="0.25">
      <c r="A6" t="s">
        <v>54</v>
      </c>
      <c r="B6" t="s">
        <v>55</v>
      </c>
      <c r="C6" s="11">
        <v>46147</v>
      </c>
      <c r="D6" s="11">
        <v>46148</v>
      </c>
      <c r="E6">
        <v>1</v>
      </c>
      <c r="F6">
        <v>4</v>
      </c>
      <c r="G6" t="s">
        <v>56</v>
      </c>
      <c r="H6" t="s">
        <v>57</v>
      </c>
      <c r="I6">
        <v>0</v>
      </c>
      <c r="J6" t="s">
        <v>40</v>
      </c>
      <c r="K6" t="s">
        <v>58</v>
      </c>
      <c r="L6" t="s">
        <v>40</v>
      </c>
    </row>
    <row r="7" spans="1:12" x14ac:dyDescent="0.25">
      <c r="A7" t="s">
        <v>59</v>
      </c>
      <c r="B7" t="s">
        <v>60</v>
      </c>
      <c r="C7" s="11">
        <v>46149</v>
      </c>
      <c r="D7" s="11">
        <v>46152</v>
      </c>
      <c r="E7">
        <v>1</v>
      </c>
      <c r="F7">
        <v>6</v>
      </c>
      <c r="G7" t="s">
        <v>42</v>
      </c>
      <c r="H7" t="s">
        <v>44</v>
      </c>
      <c r="I7">
        <v>0</v>
      </c>
      <c r="J7" t="s">
        <v>40</v>
      </c>
      <c r="K7" t="s">
        <v>61</v>
      </c>
      <c r="L7" t="s">
        <v>40</v>
      </c>
    </row>
    <row r="8" spans="1:12" x14ac:dyDescent="0.25">
      <c r="A8" t="s">
        <v>62</v>
      </c>
      <c r="B8" t="s">
        <v>63</v>
      </c>
      <c r="C8" s="11">
        <v>46153</v>
      </c>
      <c r="D8" s="11">
        <v>46154</v>
      </c>
      <c r="E8">
        <v>2</v>
      </c>
      <c r="F8">
        <v>16</v>
      </c>
      <c r="G8" t="s">
        <v>64</v>
      </c>
      <c r="H8" t="s">
        <v>44</v>
      </c>
      <c r="I8">
        <v>0</v>
      </c>
      <c r="J8" t="s">
        <v>40</v>
      </c>
      <c r="K8" t="s">
        <v>65</v>
      </c>
      <c r="L8" t="s">
        <v>40</v>
      </c>
    </row>
    <row r="9" spans="1:12" x14ac:dyDescent="0.25">
      <c r="A9" t="s">
        <v>66</v>
      </c>
      <c r="B9" t="s">
        <v>67</v>
      </c>
      <c r="C9" s="11">
        <v>46153</v>
      </c>
      <c r="D9" s="11">
        <v>46159</v>
      </c>
      <c r="E9">
        <v>3</v>
      </c>
      <c r="F9">
        <v>20</v>
      </c>
      <c r="G9" t="s">
        <v>68</v>
      </c>
      <c r="H9" t="s">
        <v>69</v>
      </c>
      <c r="I9">
        <v>0</v>
      </c>
      <c r="J9" t="s">
        <v>40</v>
      </c>
      <c r="K9" t="s">
        <v>70</v>
      </c>
      <c r="L9" t="s">
        <v>40</v>
      </c>
    </row>
    <row r="10" spans="1:12" x14ac:dyDescent="0.25">
      <c r="A10" t="s">
        <v>71</v>
      </c>
      <c r="B10" t="s">
        <v>72</v>
      </c>
      <c r="C10" s="11">
        <v>46155</v>
      </c>
      <c r="D10" s="11">
        <v>46156</v>
      </c>
      <c r="E10">
        <v>2</v>
      </c>
      <c r="F10">
        <v>10</v>
      </c>
      <c r="G10" t="s">
        <v>73</v>
      </c>
      <c r="H10" t="s">
        <v>57</v>
      </c>
      <c r="I10">
        <v>0</v>
      </c>
      <c r="J10" t="s">
        <v>40</v>
      </c>
      <c r="K10" t="s">
        <v>74</v>
      </c>
      <c r="L10" t="s">
        <v>40</v>
      </c>
    </row>
    <row r="11" spans="1:12" x14ac:dyDescent="0.25">
      <c r="A11" t="s">
        <v>75</v>
      </c>
      <c r="B11" t="s">
        <v>76</v>
      </c>
      <c r="C11" s="11">
        <v>46157</v>
      </c>
      <c r="D11" s="11">
        <v>46158</v>
      </c>
      <c r="E11">
        <v>1</v>
      </c>
      <c r="F11">
        <v>8</v>
      </c>
      <c r="G11" t="s">
        <v>77</v>
      </c>
      <c r="H11" t="s">
        <v>10</v>
      </c>
      <c r="I11">
        <v>0</v>
      </c>
      <c r="J11" t="s">
        <v>40</v>
      </c>
      <c r="K11" t="s">
        <v>78</v>
      </c>
      <c r="L11" t="s">
        <v>40</v>
      </c>
    </row>
    <row r="12" spans="1:12" x14ac:dyDescent="0.25">
      <c r="A12" t="s">
        <v>79</v>
      </c>
      <c r="B12" t="s">
        <v>80</v>
      </c>
      <c r="C12" s="11">
        <v>46160</v>
      </c>
      <c r="D12" s="11">
        <v>46160</v>
      </c>
      <c r="E12">
        <v>1</v>
      </c>
      <c r="F12">
        <v>8</v>
      </c>
      <c r="G12" t="s">
        <v>66</v>
      </c>
      <c r="H12" t="s">
        <v>57</v>
      </c>
      <c r="I12">
        <v>0</v>
      </c>
      <c r="J12" t="s">
        <v>40</v>
      </c>
      <c r="K12" t="s">
        <v>81</v>
      </c>
      <c r="L12" t="s">
        <v>40</v>
      </c>
    </row>
    <row r="13" spans="1:12" x14ac:dyDescent="0.25">
      <c r="A13" t="s">
        <v>82</v>
      </c>
      <c r="B13" t="s">
        <v>83</v>
      </c>
      <c r="C13" s="11">
        <v>46161</v>
      </c>
      <c r="D13" s="11">
        <v>46164</v>
      </c>
      <c r="E13">
        <v>1</v>
      </c>
      <c r="F13">
        <v>8</v>
      </c>
      <c r="G13" t="s">
        <v>84</v>
      </c>
      <c r="H13" t="s">
        <v>44</v>
      </c>
      <c r="I13">
        <v>0</v>
      </c>
      <c r="J13" t="s">
        <v>40</v>
      </c>
      <c r="K13" t="s">
        <v>85</v>
      </c>
      <c r="L13" t="s">
        <v>40</v>
      </c>
    </row>
    <row r="14" spans="1:12" x14ac:dyDescent="0.25">
      <c r="A14" t="s">
        <v>86</v>
      </c>
      <c r="B14" t="s">
        <v>87</v>
      </c>
      <c r="C14" s="11">
        <v>46165</v>
      </c>
      <c r="D14" s="11">
        <v>46166</v>
      </c>
      <c r="E14">
        <v>1</v>
      </c>
      <c r="F14">
        <v>6</v>
      </c>
      <c r="G14" t="s">
        <v>82</v>
      </c>
      <c r="H14" t="s">
        <v>10</v>
      </c>
      <c r="I14">
        <v>0</v>
      </c>
      <c r="J14" t="s">
        <v>40</v>
      </c>
      <c r="K14" t="s">
        <v>88</v>
      </c>
      <c r="L14" t="s">
        <v>40</v>
      </c>
    </row>
    <row r="15" spans="1:12" x14ac:dyDescent="0.25">
      <c r="A15" t="s">
        <v>89</v>
      </c>
      <c r="B15" t="s">
        <v>90</v>
      </c>
      <c r="C15" s="11">
        <v>46167</v>
      </c>
      <c r="D15" s="11">
        <v>46167</v>
      </c>
      <c r="E15">
        <v>1</v>
      </c>
      <c r="F15">
        <v>8</v>
      </c>
      <c r="G15" t="s">
        <v>91</v>
      </c>
      <c r="H15" t="s">
        <v>92</v>
      </c>
      <c r="I15">
        <v>0</v>
      </c>
      <c r="J15" t="s">
        <v>40</v>
      </c>
      <c r="K15" t="s">
        <v>93</v>
      </c>
      <c r="L15" t="s">
        <v>40</v>
      </c>
    </row>
    <row r="16" spans="1:12" x14ac:dyDescent="0.25">
      <c r="A16" t="s">
        <v>94</v>
      </c>
      <c r="B16" t="s">
        <v>95</v>
      </c>
      <c r="C16" s="11">
        <v>46168</v>
      </c>
      <c r="D16" s="11">
        <v>46169</v>
      </c>
      <c r="E16">
        <v>2</v>
      </c>
      <c r="F16">
        <v>12</v>
      </c>
      <c r="G16" t="s">
        <v>96</v>
      </c>
      <c r="H16" t="s">
        <v>57</v>
      </c>
      <c r="I16">
        <v>0</v>
      </c>
      <c r="J16" t="s">
        <v>40</v>
      </c>
      <c r="K16" t="s">
        <v>97</v>
      </c>
      <c r="L16" t="s">
        <v>40</v>
      </c>
    </row>
    <row r="17" spans="1:12" x14ac:dyDescent="0.25">
      <c r="A17" t="s">
        <v>98</v>
      </c>
      <c r="B17" t="s">
        <v>99</v>
      </c>
      <c r="C17" s="11">
        <v>46174</v>
      </c>
      <c r="D17" s="11">
        <v>46174</v>
      </c>
      <c r="E17">
        <v>1</v>
      </c>
      <c r="F17">
        <v>8</v>
      </c>
      <c r="G17" t="s">
        <v>94</v>
      </c>
      <c r="H17" t="s">
        <v>57</v>
      </c>
      <c r="I17">
        <v>0</v>
      </c>
      <c r="J17" t="s">
        <v>40</v>
      </c>
      <c r="K17" t="s">
        <v>100</v>
      </c>
      <c r="L17" t="s">
        <v>40</v>
      </c>
    </row>
    <row r="18" spans="1:12" x14ac:dyDescent="0.25">
      <c r="A18" t="s">
        <v>101</v>
      </c>
      <c r="B18" t="s">
        <v>102</v>
      </c>
      <c r="C18" s="11">
        <v>46175</v>
      </c>
      <c r="D18" s="11">
        <v>46175</v>
      </c>
      <c r="E18">
        <v>1</v>
      </c>
      <c r="F18">
        <v>6</v>
      </c>
      <c r="G18" t="s">
        <v>98</v>
      </c>
      <c r="H18" t="s">
        <v>57</v>
      </c>
      <c r="I18">
        <v>0</v>
      </c>
      <c r="J18" t="s">
        <v>40</v>
      </c>
      <c r="K18" t="s">
        <v>103</v>
      </c>
      <c r="L18" t="s">
        <v>40</v>
      </c>
    </row>
    <row r="19" spans="1:12" x14ac:dyDescent="0.25">
      <c r="A19" t="s">
        <v>104</v>
      </c>
      <c r="B19" t="s">
        <v>105</v>
      </c>
      <c r="C19" s="11">
        <v>46176</v>
      </c>
      <c r="D19" s="11">
        <v>46176</v>
      </c>
      <c r="E19">
        <v>1</v>
      </c>
      <c r="F19">
        <v>4</v>
      </c>
      <c r="G19" t="s">
        <v>106</v>
      </c>
      <c r="H19" t="s">
        <v>44</v>
      </c>
      <c r="I19">
        <v>0</v>
      </c>
      <c r="J19" t="s">
        <v>40</v>
      </c>
      <c r="K19" t="s">
        <v>107</v>
      </c>
      <c r="L19" t="s">
        <v>40</v>
      </c>
    </row>
    <row r="20" spans="1:12" x14ac:dyDescent="0.25">
      <c r="A20" t="s">
        <v>108</v>
      </c>
      <c r="B20" t="s">
        <v>109</v>
      </c>
      <c r="C20" s="11">
        <v>46206</v>
      </c>
      <c r="D20" s="11">
        <v>46208</v>
      </c>
      <c r="E20">
        <v>3</v>
      </c>
      <c r="F20">
        <v>20</v>
      </c>
      <c r="G20" t="s">
        <v>110</v>
      </c>
      <c r="H20" t="s">
        <v>10</v>
      </c>
      <c r="I20">
        <v>0</v>
      </c>
      <c r="J20" t="s">
        <v>40</v>
      </c>
      <c r="K20" t="s">
        <v>111</v>
      </c>
      <c r="L20" t="s">
        <v>40</v>
      </c>
    </row>
    <row r="21" spans="1:12" x14ac:dyDescent="0.25">
      <c r="A21" t="s">
        <v>112</v>
      </c>
      <c r="B21" t="s">
        <v>113</v>
      </c>
      <c r="C21" s="11">
        <v>46209</v>
      </c>
      <c r="D21" s="11">
        <v>46209</v>
      </c>
      <c r="E21">
        <v>1</v>
      </c>
      <c r="F21">
        <v>8</v>
      </c>
      <c r="G21" t="s">
        <v>114</v>
      </c>
      <c r="H21" t="s">
        <v>44</v>
      </c>
      <c r="I21">
        <v>0</v>
      </c>
      <c r="J21" t="s">
        <v>40</v>
      </c>
      <c r="K21" t="s">
        <v>115</v>
      </c>
      <c r="L21" t="s">
        <v>40</v>
      </c>
    </row>
    <row r="22" spans="1:12" x14ac:dyDescent="0.25">
      <c r="A22" t="s">
        <v>116</v>
      </c>
      <c r="B22" t="s">
        <v>117</v>
      </c>
      <c r="C22" s="11">
        <v>46210</v>
      </c>
      <c r="D22" s="11">
        <v>46213</v>
      </c>
      <c r="E22">
        <v>2</v>
      </c>
      <c r="F22">
        <v>10</v>
      </c>
      <c r="G22" t="s">
        <v>118</v>
      </c>
      <c r="H22" t="s">
        <v>57</v>
      </c>
      <c r="I22">
        <v>0</v>
      </c>
      <c r="J22" t="s">
        <v>40</v>
      </c>
      <c r="K22" t="s">
        <v>119</v>
      </c>
      <c r="L22" t="s">
        <v>40</v>
      </c>
    </row>
    <row r="23" spans="1:12" x14ac:dyDescent="0.25">
      <c r="A23" t="s">
        <v>120</v>
      </c>
      <c r="B23" t="s">
        <v>121</v>
      </c>
      <c r="C23" s="11">
        <v>46215</v>
      </c>
      <c r="D23" s="11">
        <v>46215</v>
      </c>
      <c r="E23">
        <v>1</v>
      </c>
      <c r="F23">
        <v>6</v>
      </c>
      <c r="G23" t="s">
        <v>122</v>
      </c>
      <c r="H23" t="s">
        <v>57</v>
      </c>
      <c r="I23">
        <v>0</v>
      </c>
      <c r="J23" t="s">
        <v>40</v>
      </c>
      <c r="K23" t="s">
        <v>123</v>
      </c>
      <c r="L23" t="s">
        <v>40</v>
      </c>
    </row>
    <row r="24" spans="1:12" x14ac:dyDescent="0.25">
      <c r="A24" t="s">
        <v>124</v>
      </c>
      <c r="B24" t="s">
        <v>125</v>
      </c>
      <c r="C24" s="11">
        <v>46187</v>
      </c>
      <c r="D24" s="11">
        <v>46188</v>
      </c>
      <c r="E24">
        <v>2</v>
      </c>
      <c r="F24">
        <v>12</v>
      </c>
      <c r="G24" t="s">
        <v>126</v>
      </c>
      <c r="H24" t="s">
        <v>10</v>
      </c>
      <c r="I24">
        <v>0</v>
      </c>
      <c r="J24" t="s">
        <v>40</v>
      </c>
      <c r="K24" t="s">
        <v>127</v>
      </c>
      <c r="L24" t="s">
        <v>40</v>
      </c>
    </row>
    <row r="25" spans="1:12" x14ac:dyDescent="0.25">
      <c r="A25" t="s">
        <v>128</v>
      </c>
      <c r="B25" t="s">
        <v>129</v>
      </c>
      <c r="C25" s="11">
        <v>46189</v>
      </c>
      <c r="D25" s="11">
        <v>46190</v>
      </c>
      <c r="E25">
        <v>2</v>
      </c>
      <c r="F25">
        <v>16</v>
      </c>
      <c r="G25" t="s">
        <v>130</v>
      </c>
      <c r="H25" t="s">
        <v>44</v>
      </c>
      <c r="I25">
        <v>0</v>
      </c>
      <c r="J25" t="s">
        <v>40</v>
      </c>
      <c r="K25" t="s">
        <v>131</v>
      </c>
      <c r="L25" t="s">
        <v>40</v>
      </c>
    </row>
    <row r="26" spans="1:12" x14ac:dyDescent="0.25">
      <c r="A26" t="s">
        <v>132</v>
      </c>
      <c r="B26" t="s">
        <v>133</v>
      </c>
      <c r="C26" s="11">
        <v>46193</v>
      </c>
      <c r="D26" s="11">
        <v>46194</v>
      </c>
      <c r="E26">
        <v>2</v>
      </c>
      <c r="F26">
        <v>14</v>
      </c>
      <c r="G26" t="s">
        <v>134</v>
      </c>
      <c r="H26" t="s">
        <v>57</v>
      </c>
      <c r="I26">
        <v>0</v>
      </c>
      <c r="J26" t="s">
        <v>40</v>
      </c>
      <c r="K26" t="s">
        <v>135</v>
      </c>
      <c r="L26" t="s">
        <v>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02CD8-39A9-4ECD-ACA4-4544CF43688C}">
  <sheetPr>
    <pageSetUpPr fitToPage="1"/>
  </sheetPr>
  <dimension ref="A1:BH49"/>
  <sheetViews>
    <sheetView showGridLines="0" zoomScaleNormal="100" workbookViewId="0">
      <pane xSplit="5" ySplit="8" topLeftCell="F17" activePane="bottomRight" state="frozen"/>
      <selection pane="topRight" activeCell="F1" sqref="F1"/>
      <selection pane="bottomLeft" activeCell="A9" sqref="A9"/>
      <selection pane="bottomRight" activeCell="D39" sqref="D39"/>
    </sheetView>
  </sheetViews>
  <sheetFormatPr baseColWidth="10" defaultRowHeight="15" x14ac:dyDescent="0.25"/>
  <cols>
    <col min="1" max="1" width="3.7109375" customWidth="1"/>
    <col min="2" max="2" width="8.7109375" customWidth="1"/>
    <col min="3" max="3" width="31.85546875" customWidth="1"/>
    <col min="4" max="5" width="10.7109375" style="1" customWidth="1"/>
    <col min="6" max="7" width="10.7109375" customWidth="1"/>
    <col min="8" max="8" width="10.28515625" bestFit="1" customWidth="1"/>
    <col min="9" max="9" width="10.28515625" customWidth="1"/>
    <col min="10" max="10" width="14.7109375" customWidth="1"/>
    <col min="11" max="14" width="10.28515625" customWidth="1"/>
    <col min="15" max="16" width="20.7109375" customWidth="1"/>
    <col min="17" max="18" width="11.7109375" customWidth="1"/>
    <col min="19" max="60" width="3.7109375" customWidth="1"/>
  </cols>
  <sheetData>
    <row r="1" spans="1:60" s="15" customFormat="1" x14ac:dyDescent="0.25"/>
    <row r="2" spans="1:60" s="15" customFormat="1" ht="30" customHeight="1" x14ac:dyDescent="0.25">
      <c r="A2" s="39" t="s">
        <v>152</v>
      </c>
      <c r="B2" s="39"/>
      <c r="C2" s="39"/>
      <c r="D2" s="39"/>
      <c r="E2" s="39"/>
    </row>
    <row r="3" spans="1:60" ht="21" customHeight="1" x14ac:dyDescent="0.25">
      <c r="A3" s="35" t="s">
        <v>195</v>
      </c>
      <c r="B3" s="35"/>
      <c r="C3" s="35"/>
    </row>
    <row r="4" spans="1:60" ht="21" customHeight="1" x14ac:dyDescent="0.35">
      <c r="A4" s="36" t="s">
        <v>196</v>
      </c>
      <c r="B4" s="36"/>
      <c r="C4" s="36"/>
    </row>
    <row r="6" spans="1:60" x14ac:dyDescent="0.25">
      <c r="B6">
        <v>0</v>
      </c>
      <c r="C6" s="3">
        <f>D7+B6</f>
        <v>46113</v>
      </c>
      <c r="F6" s="37" t="s">
        <v>141</v>
      </c>
      <c r="G6" s="37"/>
      <c r="H6" s="37"/>
      <c r="I6" s="37"/>
      <c r="K6" s="37" t="s">
        <v>142</v>
      </c>
      <c r="L6" s="37"/>
      <c r="M6" s="37"/>
      <c r="N6" s="37"/>
      <c r="Q6" s="37" t="s">
        <v>150</v>
      </c>
      <c r="R6" s="37"/>
      <c r="S6" s="31">
        <f>S7</f>
        <v>46113</v>
      </c>
      <c r="T6" s="31"/>
      <c r="U6" s="31"/>
      <c r="V6" s="31"/>
      <c r="W6" s="31"/>
      <c r="X6" s="31"/>
      <c r="Y6" s="31"/>
      <c r="Z6" s="31">
        <f>Z7</f>
        <v>46120</v>
      </c>
      <c r="AA6" s="31"/>
      <c r="AB6" s="31"/>
      <c r="AC6" s="31"/>
      <c r="AD6" s="31"/>
      <c r="AE6" s="31"/>
      <c r="AF6" s="31"/>
      <c r="AG6" s="31">
        <f>AG7</f>
        <v>46127</v>
      </c>
      <c r="AH6" s="31"/>
      <c r="AI6" s="31"/>
      <c r="AJ6" s="31"/>
      <c r="AK6" s="31"/>
      <c r="AL6" s="31"/>
      <c r="AM6" s="31"/>
      <c r="AN6" s="31">
        <f>AN7</f>
        <v>46134</v>
      </c>
      <c r="AO6" s="31"/>
      <c r="AP6" s="31"/>
      <c r="AQ6" s="31"/>
      <c r="AR6" s="31"/>
      <c r="AS6" s="31"/>
      <c r="AT6" s="31"/>
      <c r="AU6" s="31">
        <f>AU7</f>
        <v>46141</v>
      </c>
      <c r="AV6" s="31"/>
      <c r="AW6" s="31"/>
      <c r="AX6" s="31"/>
      <c r="AY6" s="31"/>
      <c r="AZ6" s="31"/>
      <c r="BA6" s="31"/>
      <c r="BB6" s="31">
        <f>BB7</f>
        <v>46148</v>
      </c>
      <c r="BC6" s="31"/>
      <c r="BD6" s="31"/>
      <c r="BE6" s="31"/>
      <c r="BF6" s="31"/>
      <c r="BG6" s="31"/>
      <c r="BH6" s="31"/>
    </row>
    <row r="7" spans="1:60" x14ac:dyDescent="0.25">
      <c r="B7" s="32" t="s">
        <v>20</v>
      </c>
      <c r="C7" s="32"/>
      <c r="D7" s="33">
        <v>46113</v>
      </c>
      <c r="E7" s="33"/>
      <c r="F7" s="16"/>
      <c r="G7" s="16"/>
      <c r="H7" s="16"/>
      <c r="I7" s="16"/>
      <c r="J7" s="1"/>
      <c r="K7" s="16"/>
      <c r="L7" s="16"/>
      <c r="M7" s="16"/>
      <c r="N7" s="16"/>
      <c r="O7" s="1"/>
      <c r="P7" s="1"/>
      <c r="Q7" s="16"/>
      <c r="R7" s="17"/>
      <c r="S7" s="4">
        <f>C6</f>
        <v>46113</v>
      </c>
      <c r="T7" s="4">
        <f>S7+1</f>
        <v>46114</v>
      </c>
      <c r="U7" s="4">
        <f t="shared" ref="U7:AI7" si="0">T7+1</f>
        <v>46115</v>
      </c>
      <c r="V7" s="4">
        <f t="shared" si="0"/>
        <v>46116</v>
      </c>
      <c r="W7" s="4">
        <f t="shared" si="0"/>
        <v>46117</v>
      </c>
      <c r="X7" s="4">
        <f t="shared" si="0"/>
        <v>46118</v>
      </c>
      <c r="Y7" s="4">
        <f t="shared" si="0"/>
        <v>46119</v>
      </c>
      <c r="Z7" s="4">
        <f t="shared" si="0"/>
        <v>46120</v>
      </c>
      <c r="AA7" s="4">
        <f t="shared" si="0"/>
        <v>46121</v>
      </c>
      <c r="AB7" s="4">
        <f t="shared" si="0"/>
        <v>46122</v>
      </c>
      <c r="AC7" s="4">
        <f t="shared" si="0"/>
        <v>46123</v>
      </c>
      <c r="AD7" s="4">
        <f t="shared" si="0"/>
        <v>46124</v>
      </c>
      <c r="AE7" s="4">
        <f t="shared" si="0"/>
        <v>46125</v>
      </c>
      <c r="AF7" s="4">
        <f t="shared" si="0"/>
        <v>46126</v>
      </c>
      <c r="AG7" s="4">
        <f t="shared" si="0"/>
        <v>46127</v>
      </c>
      <c r="AH7" s="4">
        <f t="shared" si="0"/>
        <v>46128</v>
      </c>
      <c r="AI7" s="4">
        <f t="shared" si="0"/>
        <v>46129</v>
      </c>
      <c r="AJ7" s="4">
        <f>AI7+1</f>
        <v>46130</v>
      </c>
      <c r="AK7" s="4">
        <f t="shared" ref="AK7:BH7" si="1">AJ7+1</f>
        <v>46131</v>
      </c>
      <c r="AL7" s="4">
        <f t="shared" si="1"/>
        <v>46132</v>
      </c>
      <c r="AM7" s="4">
        <f t="shared" si="1"/>
        <v>46133</v>
      </c>
      <c r="AN7" s="4">
        <f t="shared" si="1"/>
        <v>46134</v>
      </c>
      <c r="AO7" s="4">
        <f t="shared" si="1"/>
        <v>46135</v>
      </c>
      <c r="AP7" s="4">
        <f t="shared" si="1"/>
        <v>46136</v>
      </c>
      <c r="AQ7" s="4">
        <f t="shared" si="1"/>
        <v>46137</v>
      </c>
      <c r="AR7" s="4">
        <f t="shared" si="1"/>
        <v>46138</v>
      </c>
      <c r="AS7" s="4">
        <f t="shared" si="1"/>
        <v>46139</v>
      </c>
      <c r="AT7" s="4">
        <f t="shared" si="1"/>
        <v>46140</v>
      </c>
      <c r="AU7" s="4">
        <f t="shared" si="1"/>
        <v>46141</v>
      </c>
      <c r="AV7" s="4">
        <f t="shared" si="1"/>
        <v>46142</v>
      </c>
      <c r="AW7" s="4">
        <f t="shared" si="1"/>
        <v>46143</v>
      </c>
      <c r="AX7" s="4">
        <f t="shared" si="1"/>
        <v>46144</v>
      </c>
      <c r="AY7" s="4">
        <f t="shared" si="1"/>
        <v>46145</v>
      </c>
      <c r="AZ7" s="4">
        <f t="shared" si="1"/>
        <v>46146</v>
      </c>
      <c r="BA7" s="4">
        <f t="shared" si="1"/>
        <v>46147</v>
      </c>
      <c r="BB7" s="4">
        <f t="shared" si="1"/>
        <v>46148</v>
      </c>
      <c r="BC7" s="4">
        <f t="shared" si="1"/>
        <v>46149</v>
      </c>
      <c r="BD7" s="4">
        <f t="shared" si="1"/>
        <v>46150</v>
      </c>
      <c r="BE7" s="4">
        <f t="shared" si="1"/>
        <v>46151</v>
      </c>
      <c r="BF7" s="4">
        <f t="shared" si="1"/>
        <v>46152</v>
      </c>
      <c r="BG7" s="4">
        <f t="shared" si="1"/>
        <v>46153</v>
      </c>
      <c r="BH7" s="4">
        <f t="shared" si="1"/>
        <v>46154</v>
      </c>
    </row>
    <row r="8" spans="1:60" s="15" customFormat="1" ht="15.75" thickBot="1" x14ac:dyDescent="0.3">
      <c r="A8" s="2" t="s">
        <v>137</v>
      </c>
      <c r="B8" s="2" t="s">
        <v>26</v>
      </c>
      <c r="C8" s="2" t="s">
        <v>0</v>
      </c>
      <c r="D8" s="2" t="s">
        <v>2</v>
      </c>
      <c r="E8" s="2" t="s">
        <v>212</v>
      </c>
      <c r="F8" s="2" t="s">
        <v>3</v>
      </c>
      <c r="G8" s="2" t="s">
        <v>4</v>
      </c>
      <c r="H8" s="2" t="s">
        <v>138</v>
      </c>
      <c r="I8" s="2" t="s">
        <v>139</v>
      </c>
      <c r="J8" s="2" t="s">
        <v>140</v>
      </c>
      <c r="K8" s="2" t="s">
        <v>3</v>
      </c>
      <c r="L8" s="2" t="s">
        <v>4</v>
      </c>
      <c r="M8" s="2" t="s">
        <v>138</v>
      </c>
      <c r="N8" s="2" t="s">
        <v>139</v>
      </c>
      <c r="O8" s="2" t="s">
        <v>143</v>
      </c>
      <c r="P8" s="2" t="s">
        <v>144</v>
      </c>
      <c r="Q8" s="2" t="s">
        <v>149</v>
      </c>
      <c r="R8" s="2" t="s">
        <v>139</v>
      </c>
      <c r="S8" s="2" t="str">
        <f>UPPER(LEFT(TEXT(S7,"ddd"),1))</f>
        <v>M</v>
      </c>
      <c r="T8" s="2" t="str">
        <f t="shared" ref="T8:BH8" si="2">UPPER(LEFT(TEXT(T7,"ddd"),1))</f>
        <v>J</v>
      </c>
      <c r="U8" s="2" t="str">
        <f t="shared" si="2"/>
        <v>V</v>
      </c>
      <c r="V8" s="2" t="str">
        <f t="shared" si="2"/>
        <v>S</v>
      </c>
      <c r="W8" s="2" t="str">
        <f t="shared" si="2"/>
        <v>D</v>
      </c>
      <c r="X8" s="2" t="str">
        <f t="shared" si="2"/>
        <v>L</v>
      </c>
      <c r="Y8" s="2" t="str">
        <f t="shared" si="2"/>
        <v>M</v>
      </c>
      <c r="Z8" s="2" t="str">
        <f t="shared" si="2"/>
        <v>M</v>
      </c>
      <c r="AA8" s="2" t="str">
        <f t="shared" si="2"/>
        <v>J</v>
      </c>
      <c r="AB8" s="2" t="str">
        <f t="shared" si="2"/>
        <v>V</v>
      </c>
      <c r="AC8" s="2" t="str">
        <f t="shared" si="2"/>
        <v>S</v>
      </c>
      <c r="AD8" s="2" t="str">
        <f t="shared" si="2"/>
        <v>D</v>
      </c>
      <c r="AE8" s="2" t="str">
        <f t="shared" si="2"/>
        <v>L</v>
      </c>
      <c r="AF8" s="2" t="str">
        <f t="shared" si="2"/>
        <v>M</v>
      </c>
      <c r="AG8" s="2" t="str">
        <f t="shared" si="2"/>
        <v>M</v>
      </c>
      <c r="AH8" s="2" t="str">
        <f t="shared" si="2"/>
        <v>J</v>
      </c>
      <c r="AI8" s="2" t="str">
        <f t="shared" si="2"/>
        <v>V</v>
      </c>
      <c r="AJ8" s="2" t="str">
        <f t="shared" si="2"/>
        <v>S</v>
      </c>
      <c r="AK8" s="2" t="str">
        <f t="shared" si="2"/>
        <v>D</v>
      </c>
      <c r="AL8" s="2" t="str">
        <f t="shared" si="2"/>
        <v>L</v>
      </c>
      <c r="AM8" s="2" t="str">
        <f t="shared" si="2"/>
        <v>M</v>
      </c>
      <c r="AN8" s="2" t="str">
        <f t="shared" si="2"/>
        <v>M</v>
      </c>
      <c r="AO8" s="2" t="str">
        <f t="shared" si="2"/>
        <v>J</v>
      </c>
      <c r="AP8" s="2" t="str">
        <f t="shared" si="2"/>
        <v>V</v>
      </c>
      <c r="AQ8" s="2" t="str">
        <f t="shared" si="2"/>
        <v>S</v>
      </c>
      <c r="AR8" s="2" t="str">
        <f t="shared" si="2"/>
        <v>D</v>
      </c>
      <c r="AS8" s="2" t="str">
        <f t="shared" si="2"/>
        <v>L</v>
      </c>
      <c r="AT8" s="2" t="str">
        <f t="shared" si="2"/>
        <v>M</v>
      </c>
      <c r="AU8" s="2" t="str">
        <f t="shared" si="2"/>
        <v>M</v>
      </c>
      <c r="AV8" s="2" t="str">
        <f t="shared" si="2"/>
        <v>J</v>
      </c>
      <c r="AW8" s="2" t="str">
        <f t="shared" si="2"/>
        <v>V</v>
      </c>
      <c r="AX8" s="2" t="str">
        <f t="shared" si="2"/>
        <v>S</v>
      </c>
      <c r="AY8" s="2" t="str">
        <f t="shared" si="2"/>
        <v>D</v>
      </c>
      <c r="AZ8" s="2" t="str">
        <f t="shared" si="2"/>
        <v>L</v>
      </c>
      <c r="BA8" s="2" t="str">
        <f t="shared" si="2"/>
        <v>M</v>
      </c>
      <c r="BB8" s="2" t="str">
        <f t="shared" si="2"/>
        <v>M</v>
      </c>
      <c r="BC8" s="2" t="str">
        <f t="shared" si="2"/>
        <v>J</v>
      </c>
      <c r="BD8" s="2" t="str">
        <f t="shared" si="2"/>
        <v>V</v>
      </c>
      <c r="BE8" s="2" t="str">
        <f t="shared" si="2"/>
        <v>S</v>
      </c>
      <c r="BF8" s="2" t="str">
        <f t="shared" si="2"/>
        <v>D</v>
      </c>
      <c r="BG8" s="2" t="str">
        <f t="shared" si="2"/>
        <v>L</v>
      </c>
      <c r="BH8" s="2" t="str">
        <f t="shared" si="2"/>
        <v>M</v>
      </c>
    </row>
    <row r="9" spans="1:60" ht="15.75" thickBot="1" x14ac:dyDescent="0.3">
      <c r="A9" s="12"/>
      <c r="B9" s="12"/>
      <c r="C9" s="7" t="s">
        <v>162</v>
      </c>
      <c r="D9" s="14"/>
      <c r="E9" s="13"/>
      <c r="F9" s="10"/>
      <c r="G9" s="10"/>
      <c r="H9" s="8"/>
      <c r="I9" s="8"/>
      <c r="J9" s="8"/>
      <c r="K9" s="8"/>
      <c r="L9" s="8"/>
      <c r="M9" s="8"/>
      <c r="N9" s="8"/>
      <c r="O9" s="8"/>
      <c r="P9" s="8" t="s">
        <v>151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</row>
    <row r="10" spans="1:60" ht="15.75" thickBot="1" x14ac:dyDescent="0.3">
      <c r="A10" s="13">
        <v>1</v>
      </c>
      <c r="B10" s="8" t="s">
        <v>5</v>
      </c>
      <c r="C10" t="s">
        <v>206</v>
      </c>
      <c r="D10" s="14">
        <v>0</v>
      </c>
      <c r="E10" s="13" t="s">
        <v>9</v>
      </c>
      <c r="F10" s="10">
        <v>46113</v>
      </c>
      <c r="G10" s="10">
        <v>46116</v>
      </c>
      <c r="H10" s="13">
        <f>G10-F10</f>
        <v>3</v>
      </c>
      <c r="I10" s="13">
        <v>8</v>
      </c>
      <c r="J10" t="s">
        <v>161</v>
      </c>
      <c r="K10" s="8"/>
      <c r="L10" s="8"/>
      <c r="M10" s="8"/>
      <c r="N10" s="8"/>
      <c r="O10" t="s">
        <v>193</v>
      </c>
      <c r="P10" s="8" t="s">
        <v>151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</row>
    <row r="11" spans="1:60" ht="15.75" thickBot="1" x14ac:dyDescent="0.3">
      <c r="A11" s="13">
        <v>2</v>
      </c>
      <c r="B11" s="8" t="s">
        <v>6</v>
      </c>
      <c r="C11" s="8" t="s">
        <v>205</v>
      </c>
      <c r="D11" s="14">
        <v>0</v>
      </c>
      <c r="E11" s="13" t="s">
        <v>9</v>
      </c>
      <c r="F11" s="10">
        <v>46117</v>
      </c>
      <c r="G11" s="10">
        <v>46127</v>
      </c>
      <c r="H11" s="13">
        <f t="shared" ref="H11:H33" si="3">G11-F11</f>
        <v>10</v>
      </c>
      <c r="I11" s="13">
        <v>12</v>
      </c>
      <c r="J11" s="8" t="s">
        <v>161</v>
      </c>
      <c r="K11" s="8"/>
      <c r="L11" s="8"/>
      <c r="M11" s="8"/>
      <c r="N11" s="8"/>
      <c r="O11" s="8" t="s">
        <v>153</v>
      </c>
      <c r="P11" s="8" t="s">
        <v>151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</row>
    <row r="12" spans="1:60" ht="15.75" thickBot="1" x14ac:dyDescent="0.3">
      <c r="A12" s="13">
        <v>3</v>
      </c>
      <c r="B12" s="8" t="s">
        <v>7</v>
      </c>
      <c r="C12" t="s">
        <v>154</v>
      </c>
      <c r="D12" s="14">
        <v>0</v>
      </c>
      <c r="E12" s="13" t="s">
        <v>10</v>
      </c>
      <c r="F12" s="10">
        <v>46113</v>
      </c>
      <c r="G12" s="10">
        <v>46116</v>
      </c>
      <c r="H12" s="13">
        <f t="shared" si="3"/>
        <v>3</v>
      </c>
      <c r="I12" s="13">
        <v>6</v>
      </c>
      <c r="J12" t="s">
        <v>161</v>
      </c>
      <c r="K12" s="8"/>
      <c r="L12" s="8"/>
      <c r="M12" s="8"/>
      <c r="N12" s="8"/>
      <c r="P12" s="8" t="s">
        <v>151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</row>
    <row r="13" spans="1:60" ht="15.75" thickBot="1" x14ac:dyDescent="0.3">
      <c r="A13" s="13">
        <v>4</v>
      </c>
      <c r="B13" s="8" t="s">
        <v>8</v>
      </c>
      <c r="C13" s="8" t="s">
        <v>194</v>
      </c>
      <c r="D13" s="14">
        <v>0</v>
      </c>
      <c r="E13" s="13" t="s">
        <v>9</v>
      </c>
      <c r="F13" s="10">
        <v>46117</v>
      </c>
      <c r="G13" s="10">
        <v>46127</v>
      </c>
      <c r="H13" s="13">
        <f t="shared" si="3"/>
        <v>10</v>
      </c>
      <c r="I13" s="13">
        <v>10</v>
      </c>
      <c r="J13" s="8" t="s">
        <v>184</v>
      </c>
      <c r="K13" s="8"/>
      <c r="L13" s="8"/>
      <c r="M13" s="8"/>
      <c r="N13" s="8"/>
      <c r="O13" s="8" t="s">
        <v>155</v>
      </c>
      <c r="P13" s="8" t="s">
        <v>151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</row>
    <row r="14" spans="1:60" ht="15.75" thickBot="1" x14ac:dyDescent="0.3">
      <c r="A14" s="13">
        <v>5</v>
      </c>
      <c r="B14" s="8" t="s">
        <v>136</v>
      </c>
      <c r="C14" t="s">
        <v>197</v>
      </c>
      <c r="D14" s="14">
        <v>0</v>
      </c>
      <c r="E14" s="13" t="s">
        <v>10</v>
      </c>
      <c r="F14" s="10">
        <v>46122</v>
      </c>
      <c r="G14" s="10">
        <v>46125</v>
      </c>
      <c r="H14" s="13">
        <f t="shared" si="3"/>
        <v>3</v>
      </c>
      <c r="I14" s="13">
        <v>12</v>
      </c>
      <c r="J14" t="s">
        <v>161</v>
      </c>
      <c r="K14" s="8"/>
      <c r="L14" s="8"/>
      <c r="M14" s="8"/>
      <c r="N14" s="8"/>
      <c r="O14" t="s">
        <v>156</v>
      </c>
      <c r="P14" s="8" t="s">
        <v>151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</row>
    <row r="15" spans="1:60" ht="15.75" thickBot="1" x14ac:dyDescent="0.3">
      <c r="A15" s="13">
        <v>6</v>
      </c>
      <c r="B15" s="8" t="s">
        <v>159</v>
      </c>
      <c r="C15" s="8" t="s">
        <v>198</v>
      </c>
      <c r="D15" s="14">
        <v>0</v>
      </c>
      <c r="E15" s="13" t="s">
        <v>10</v>
      </c>
      <c r="F15" s="10">
        <v>46122</v>
      </c>
      <c r="G15" s="10">
        <v>46127</v>
      </c>
      <c r="H15" s="13">
        <f t="shared" si="3"/>
        <v>5</v>
      </c>
      <c r="I15" s="13">
        <v>14</v>
      </c>
      <c r="J15" s="8" t="s">
        <v>182</v>
      </c>
      <c r="K15" s="8"/>
      <c r="L15" s="8"/>
      <c r="M15" s="8"/>
      <c r="N15" s="8"/>
      <c r="O15" s="8" t="s">
        <v>157</v>
      </c>
      <c r="P15" s="8" t="s">
        <v>151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</row>
    <row r="16" spans="1:60" ht="15.75" thickBot="1" x14ac:dyDescent="0.3">
      <c r="A16" s="13">
        <v>7</v>
      </c>
      <c r="B16" s="8" t="s">
        <v>160</v>
      </c>
      <c r="C16" t="s">
        <v>199</v>
      </c>
      <c r="D16" s="14">
        <v>0</v>
      </c>
      <c r="E16" s="13" t="s">
        <v>57</v>
      </c>
      <c r="F16" s="10">
        <v>46128</v>
      </c>
      <c r="G16" s="10">
        <v>46139</v>
      </c>
      <c r="H16" s="13">
        <f>G16-F16</f>
        <v>11</v>
      </c>
      <c r="I16" s="13">
        <v>16</v>
      </c>
      <c r="J16" t="s">
        <v>183</v>
      </c>
      <c r="K16" s="8"/>
      <c r="L16" s="8"/>
      <c r="M16" s="8"/>
      <c r="N16" s="8"/>
      <c r="O16" t="s">
        <v>158</v>
      </c>
      <c r="P16" s="8" t="s">
        <v>151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</row>
    <row r="17" spans="1:60" s="25" customFormat="1" ht="15.75" thickBot="1" x14ac:dyDescent="0.3">
      <c r="A17" s="18"/>
      <c r="B17" s="18"/>
      <c r="C17" s="18" t="s">
        <v>164</v>
      </c>
      <c r="D17" s="14">
        <f>AVERAGE(D10:D16)</f>
        <v>0</v>
      </c>
      <c r="E17" s="19" t="s">
        <v>57</v>
      </c>
      <c r="F17" s="20">
        <v>46113</v>
      </c>
      <c r="G17" s="20">
        <v>46139</v>
      </c>
      <c r="H17" s="19">
        <f>G17-F17</f>
        <v>26</v>
      </c>
      <c r="I17" s="18"/>
      <c r="J17" s="18"/>
      <c r="K17" s="18"/>
      <c r="L17" s="18"/>
      <c r="M17" s="18"/>
      <c r="N17" s="18"/>
      <c r="O17" s="18" t="s">
        <v>165</v>
      </c>
      <c r="P17" s="8" t="s">
        <v>151</v>
      </c>
      <c r="Q17" s="18"/>
      <c r="R17" s="1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</row>
    <row r="18" spans="1:60" ht="15.75" thickBot="1" x14ac:dyDescent="0.3">
      <c r="A18" s="12"/>
      <c r="B18" s="12"/>
      <c r="C18" s="7" t="s">
        <v>163</v>
      </c>
      <c r="D18" s="14"/>
      <c r="E18" s="13"/>
      <c r="F18" s="10"/>
      <c r="G18" s="10"/>
      <c r="H18" s="8"/>
      <c r="I18" s="8"/>
      <c r="J18" s="8"/>
      <c r="K18" s="8"/>
      <c r="L18" s="8"/>
      <c r="M18" s="8"/>
      <c r="N18" s="8"/>
      <c r="O18" s="8"/>
      <c r="P18" s="8" t="s">
        <v>151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</row>
    <row r="19" spans="1:60" ht="15.75" thickBot="1" x14ac:dyDescent="0.3">
      <c r="A19" s="13">
        <v>8</v>
      </c>
      <c r="B19" s="8" t="s">
        <v>11</v>
      </c>
      <c r="C19" t="s">
        <v>166</v>
      </c>
      <c r="D19" s="14">
        <v>0</v>
      </c>
      <c r="E19" s="13" t="s">
        <v>57</v>
      </c>
      <c r="F19" s="10">
        <v>46142</v>
      </c>
      <c r="G19" s="10">
        <v>46146</v>
      </c>
      <c r="H19" s="13">
        <f t="shared" si="3"/>
        <v>4</v>
      </c>
      <c r="I19" s="13">
        <v>14</v>
      </c>
      <c r="J19" s="8" t="s">
        <v>185</v>
      </c>
      <c r="K19" s="8"/>
      <c r="L19" s="8"/>
      <c r="M19" s="8"/>
      <c r="N19" s="8"/>
      <c r="P19" s="8" t="s">
        <v>151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</row>
    <row r="20" spans="1:60" ht="15.75" thickBot="1" x14ac:dyDescent="0.3">
      <c r="A20" s="13">
        <v>9</v>
      </c>
      <c r="B20" s="8" t="s">
        <v>12</v>
      </c>
      <c r="C20" s="8" t="s">
        <v>200</v>
      </c>
      <c r="D20" s="14">
        <v>0</v>
      </c>
      <c r="E20" s="13" t="s">
        <v>57</v>
      </c>
      <c r="F20" s="10">
        <v>46121</v>
      </c>
      <c r="G20" s="10">
        <v>46125</v>
      </c>
      <c r="H20" s="13">
        <f t="shared" si="3"/>
        <v>4</v>
      </c>
      <c r="I20" s="13">
        <v>18</v>
      </c>
      <c r="J20" t="s">
        <v>186</v>
      </c>
      <c r="K20" s="8"/>
      <c r="L20" s="8"/>
      <c r="M20" s="8"/>
      <c r="N20" s="8"/>
      <c r="O20" s="8" t="s">
        <v>167</v>
      </c>
      <c r="P20" s="8" t="s">
        <v>151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</row>
    <row r="21" spans="1:60" ht="15.75" thickBot="1" x14ac:dyDescent="0.3">
      <c r="A21" s="13">
        <v>10</v>
      </c>
      <c r="B21" s="8" t="s">
        <v>13</v>
      </c>
      <c r="C21" t="s">
        <v>168</v>
      </c>
      <c r="D21" s="14">
        <v>0</v>
      </c>
      <c r="E21" s="13" t="s">
        <v>10</v>
      </c>
      <c r="F21" s="10">
        <v>46148</v>
      </c>
      <c r="G21" s="10">
        <v>46153</v>
      </c>
      <c r="H21" s="13">
        <f t="shared" si="3"/>
        <v>5</v>
      </c>
      <c r="I21" s="13">
        <v>20</v>
      </c>
      <c r="J21" s="8" t="s">
        <v>187</v>
      </c>
      <c r="K21" s="8"/>
      <c r="L21" s="8"/>
      <c r="M21" s="8"/>
      <c r="N21" s="8"/>
      <c r="P21" s="8" t="s">
        <v>151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</row>
    <row r="22" spans="1:60" ht="15.75" thickBot="1" x14ac:dyDescent="0.3">
      <c r="A22" s="13">
        <v>11</v>
      </c>
      <c r="B22" s="8" t="s">
        <v>147</v>
      </c>
      <c r="C22" s="8" t="s">
        <v>202</v>
      </c>
      <c r="D22" s="14">
        <v>0</v>
      </c>
      <c r="E22" s="13" t="s">
        <v>9</v>
      </c>
      <c r="F22" s="10">
        <v>46148</v>
      </c>
      <c r="G22" s="10">
        <v>46155</v>
      </c>
      <c r="H22" s="13">
        <f t="shared" si="3"/>
        <v>7</v>
      </c>
      <c r="I22" s="13">
        <v>22</v>
      </c>
      <c r="J22" s="8" t="s">
        <v>185</v>
      </c>
      <c r="K22" s="8"/>
      <c r="L22" s="8"/>
      <c r="M22" s="8"/>
      <c r="N22" s="8"/>
      <c r="O22" s="8" t="s">
        <v>201</v>
      </c>
      <c r="P22" s="8" t="s">
        <v>151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</row>
    <row r="23" spans="1:60" ht="15.75" thickBot="1" x14ac:dyDescent="0.3">
      <c r="A23" s="13">
        <v>12</v>
      </c>
      <c r="B23" s="8" t="s">
        <v>145</v>
      </c>
      <c r="C23" s="8" t="s">
        <v>203</v>
      </c>
      <c r="D23" s="14">
        <v>0</v>
      </c>
      <c r="E23" s="13" t="s">
        <v>9</v>
      </c>
      <c r="F23" s="10">
        <v>46156</v>
      </c>
      <c r="G23" s="10">
        <v>46159</v>
      </c>
      <c r="H23" s="13">
        <f t="shared" si="3"/>
        <v>3</v>
      </c>
      <c r="I23" s="13">
        <v>10</v>
      </c>
      <c r="J23" t="s">
        <v>161</v>
      </c>
      <c r="K23" s="8"/>
      <c r="L23" s="8"/>
      <c r="M23" s="8"/>
      <c r="N23" s="8"/>
      <c r="O23" s="8" t="s">
        <v>169</v>
      </c>
      <c r="P23" s="8" t="s">
        <v>151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</row>
    <row r="24" spans="1:60" ht="15.75" thickBot="1" x14ac:dyDescent="0.3">
      <c r="A24" s="13">
        <v>13</v>
      </c>
      <c r="B24" s="8" t="s">
        <v>146</v>
      </c>
      <c r="C24" t="s">
        <v>204</v>
      </c>
      <c r="D24" s="14">
        <v>0</v>
      </c>
      <c r="E24" s="13" t="s">
        <v>57</v>
      </c>
      <c r="F24" s="10">
        <v>46160</v>
      </c>
      <c r="G24" s="10">
        <v>46167</v>
      </c>
      <c r="H24" s="13">
        <f>G24-F24</f>
        <v>7</v>
      </c>
      <c r="I24" s="13">
        <v>20</v>
      </c>
      <c r="J24" s="8" t="s">
        <v>188</v>
      </c>
      <c r="K24" s="8"/>
      <c r="L24" s="8"/>
      <c r="M24" s="8"/>
      <c r="N24" s="8"/>
      <c r="O24" t="s">
        <v>170</v>
      </c>
      <c r="P24" t="s">
        <v>151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</row>
    <row r="25" spans="1:60" s="25" customFormat="1" ht="15.75" thickBot="1" x14ac:dyDescent="0.3">
      <c r="A25" s="18"/>
      <c r="B25" s="18"/>
      <c r="C25" s="18" t="s">
        <v>171</v>
      </c>
      <c r="D25" s="14">
        <f>AVERAGE(D19:D24)</f>
        <v>0</v>
      </c>
      <c r="E25" s="19" t="s">
        <v>57</v>
      </c>
      <c r="F25" s="20">
        <v>46139</v>
      </c>
      <c r="G25" s="20">
        <v>46174</v>
      </c>
      <c r="H25" s="19">
        <f>G25-F25</f>
        <v>35</v>
      </c>
      <c r="I25" s="18"/>
      <c r="J25" s="18"/>
      <c r="K25" s="18"/>
      <c r="L25" s="18"/>
      <c r="M25" s="18"/>
      <c r="N25" s="18"/>
      <c r="O25" s="18" t="s">
        <v>180</v>
      </c>
      <c r="P25" s="8" t="s">
        <v>151</v>
      </c>
      <c r="Q25" s="18"/>
      <c r="R25" s="1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</row>
    <row r="26" spans="1:60" ht="15.75" thickBot="1" x14ac:dyDescent="0.3">
      <c r="A26" s="13"/>
      <c r="B26" s="13"/>
      <c r="C26" s="7" t="s">
        <v>181</v>
      </c>
      <c r="D26" s="14"/>
      <c r="E26" s="13"/>
      <c r="F26" s="10"/>
      <c r="G26" s="10"/>
      <c r="H26" s="13"/>
      <c r="I26" s="8"/>
      <c r="J26" s="8"/>
      <c r="K26" s="8"/>
      <c r="L26" s="8"/>
      <c r="M26" s="8"/>
      <c r="N26" s="8"/>
      <c r="O26" s="8"/>
      <c r="P26" s="8" t="s">
        <v>151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</row>
    <row r="27" spans="1:60" ht="15.75" thickBot="1" x14ac:dyDescent="0.3">
      <c r="A27" s="13">
        <v>14</v>
      </c>
      <c r="B27" s="8" t="s">
        <v>15</v>
      </c>
      <c r="C27" s="8" t="s">
        <v>172</v>
      </c>
      <c r="D27" s="14">
        <v>0</v>
      </c>
      <c r="E27" s="13" t="s">
        <v>57</v>
      </c>
      <c r="F27" s="10">
        <v>46175</v>
      </c>
      <c r="G27" s="10">
        <v>46180</v>
      </c>
      <c r="H27" s="13">
        <f t="shared" si="3"/>
        <v>5</v>
      </c>
      <c r="I27" s="13">
        <v>12</v>
      </c>
      <c r="J27" s="8" t="s">
        <v>189</v>
      </c>
      <c r="K27" s="8"/>
      <c r="L27" s="8"/>
      <c r="M27" s="8"/>
      <c r="N27" s="8"/>
      <c r="O27" s="8" t="s">
        <v>172</v>
      </c>
      <c r="P27" s="8" t="s">
        <v>151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</row>
    <row r="28" spans="1:60" ht="15.75" thickBot="1" x14ac:dyDescent="0.3">
      <c r="A28" s="13">
        <v>15</v>
      </c>
      <c r="B28" s="8" t="s">
        <v>16</v>
      </c>
      <c r="C28" t="s">
        <v>207</v>
      </c>
      <c r="D28" s="14">
        <v>0</v>
      </c>
      <c r="E28" s="13" t="s">
        <v>9</v>
      </c>
      <c r="F28" s="10">
        <v>46179</v>
      </c>
      <c r="G28" s="10">
        <v>46188</v>
      </c>
      <c r="H28" s="13">
        <f t="shared" si="3"/>
        <v>9</v>
      </c>
      <c r="I28" s="13">
        <v>30</v>
      </c>
      <c r="J28" t="s">
        <v>189</v>
      </c>
      <c r="K28" s="8"/>
      <c r="L28" s="8"/>
      <c r="M28" s="8"/>
      <c r="N28" s="8"/>
      <c r="O28" t="s">
        <v>173</v>
      </c>
      <c r="P28" s="8" t="s">
        <v>151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</row>
    <row r="29" spans="1:60" ht="15.75" thickBot="1" x14ac:dyDescent="0.3">
      <c r="A29" s="13">
        <v>16</v>
      </c>
      <c r="B29" s="8" t="s">
        <v>17</v>
      </c>
      <c r="C29" s="8" t="s">
        <v>208</v>
      </c>
      <c r="D29" s="14">
        <v>0</v>
      </c>
      <c r="E29" s="13" t="s">
        <v>9</v>
      </c>
      <c r="F29" s="10">
        <v>46189</v>
      </c>
      <c r="G29" s="10">
        <v>46193</v>
      </c>
      <c r="H29" s="13">
        <f t="shared" si="3"/>
        <v>4</v>
      </c>
      <c r="I29" s="13">
        <v>16</v>
      </c>
      <c r="J29" s="8" t="s">
        <v>190</v>
      </c>
      <c r="K29" s="8"/>
      <c r="L29" s="8"/>
      <c r="M29" s="8"/>
      <c r="N29" s="8"/>
      <c r="O29" s="8" t="s">
        <v>174</v>
      </c>
      <c r="P29" s="8" t="s">
        <v>151</v>
      </c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</row>
    <row r="30" spans="1:60" ht="15.75" thickBot="1" x14ac:dyDescent="0.3">
      <c r="A30" s="13">
        <v>17</v>
      </c>
      <c r="B30" s="8" t="s">
        <v>18</v>
      </c>
      <c r="C30" t="s">
        <v>209</v>
      </c>
      <c r="D30" s="14">
        <v>0</v>
      </c>
      <c r="E30" s="13" t="s">
        <v>10</v>
      </c>
      <c r="F30" s="10">
        <v>46179</v>
      </c>
      <c r="G30" s="10">
        <v>46188</v>
      </c>
      <c r="H30" s="13">
        <f t="shared" si="3"/>
        <v>9</v>
      </c>
      <c r="I30" s="13">
        <v>24</v>
      </c>
      <c r="J30" s="8" t="s">
        <v>189</v>
      </c>
      <c r="K30" s="8"/>
      <c r="L30" s="8"/>
      <c r="M30" s="8"/>
      <c r="N30" s="8"/>
      <c r="O30" t="s">
        <v>175</v>
      </c>
      <c r="P30" s="8" t="s">
        <v>151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</row>
    <row r="31" spans="1:60" ht="15.75" thickBot="1" x14ac:dyDescent="0.3">
      <c r="A31" s="13">
        <v>18</v>
      </c>
      <c r="B31" s="8" t="s">
        <v>19</v>
      </c>
      <c r="C31" s="8" t="s">
        <v>210</v>
      </c>
      <c r="D31" s="14">
        <v>0</v>
      </c>
      <c r="E31" s="13" t="s">
        <v>57</v>
      </c>
      <c r="F31" s="10">
        <v>46185</v>
      </c>
      <c r="G31" s="10">
        <v>46198</v>
      </c>
      <c r="H31" s="13">
        <f t="shared" si="3"/>
        <v>13</v>
      </c>
      <c r="I31" s="13">
        <v>20</v>
      </c>
      <c r="J31" s="8" t="s">
        <v>191</v>
      </c>
      <c r="K31" s="8"/>
      <c r="L31" s="8"/>
      <c r="M31" s="8"/>
      <c r="N31" s="8"/>
      <c r="O31" s="8" t="s">
        <v>176</v>
      </c>
      <c r="P31" s="8" t="s">
        <v>151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</row>
    <row r="32" spans="1:60" ht="15.75" thickBot="1" x14ac:dyDescent="0.3">
      <c r="A32" s="13">
        <v>19</v>
      </c>
      <c r="B32" s="8" t="s">
        <v>148</v>
      </c>
      <c r="C32" t="s">
        <v>211</v>
      </c>
      <c r="D32" s="14">
        <v>0</v>
      </c>
      <c r="E32" s="13" t="s">
        <v>57</v>
      </c>
      <c r="F32" s="10">
        <v>46189</v>
      </c>
      <c r="G32" s="10">
        <v>46202</v>
      </c>
      <c r="H32" s="13">
        <f t="shared" si="3"/>
        <v>13</v>
      </c>
      <c r="I32" s="13">
        <v>10</v>
      </c>
      <c r="J32" t="s">
        <v>192</v>
      </c>
      <c r="K32" s="8"/>
      <c r="L32" s="8"/>
      <c r="M32" s="8"/>
      <c r="N32" s="8"/>
      <c r="O32" t="s">
        <v>177</v>
      </c>
      <c r="P32" s="8" t="s">
        <v>151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</row>
    <row r="33" spans="1:60" s="25" customFormat="1" ht="15.75" thickBot="1" x14ac:dyDescent="0.3">
      <c r="A33" s="18"/>
      <c r="B33" s="18"/>
      <c r="C33" s="18" t="s">
        <v>178</v>
      </c>
      <c r="D33" s="14">
        <f>AVERAGE(D27:D32)</f>
        <v>0</v>
      </c>
      <c r="E33" s="19" t="s">
        <v>57</v>
      </c>
      <c r="F33" s="20">
        <v>46175</v>
      </c>
      <c r="G33" s="20">
        <v>46202</v>
      </c>
      <c r="H33" s="19">
        <f t="shared" si="3"/>
        <v>27</v>
      </c>
      <c r="I33" s="18"/>
      <c r="J33" s="18"/>
      <c r="K33" s="18"/>
      <c r="L33" s="18"/>
      <c r="M33" s="18"/>
      <c r="N33" s="18"/>
      <c r="O33" s="18" t="s">
        <v>179</v>
      </c>
      <c r="P33" s="8" t="s">
        <v>151</v>
      </c>
      <c r="Q33" s="18"/>
      <c r="R33" s="1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</row>
    <row r="34" spans="1:60" x14ac:dyDescent="0.25">
      <c r="A34" s="21"/>
      <c r="B34" s="22"/>
      <c r="D34" s="23"/>
      <c r="E34" s="21"/>
      <c r="F34" s="24"/>
      <c r="G34" s="24"/>
      <c r="H34" s="21"/>
      <c r="I34" s="21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</row>
    <row r="35" spans="1:60" x14ac:dyDescent="0.25">
      <c r="A35" s="1"/>
      <c r="B35" s="1"/>
      <c r="C35" s="27"/>
      <c r="D35" s="26"/>
      <c r="F35" s="28"/>
      <c r="G35" s="28"/>
      <c r="H35" s="1"/>
      <c r="I35" s="1"/>
    </row>
    <row r="36" spans="1:60" x14ac:dyDescent="0.25">
      <c r="A36" s="1"/>
      <c r="D36" s="26"/>
      <c r="F36" s="28"/>
      <c r="G36" s="28"/>
      <c r="H36" s="1"/>
      <c r="I36" s="1"/>
    </row>
    <row r="37" spans="1:60" x14ac:dyDescent="0.25">
      <c r="A37" s="1"/>
      <c r="D37" s="26"/>
      <c r="F37" s="28"/>
      <c r="G37" s="28"/>
      <c r="H37" s="1"/>
      <c r="I37" s="1"/>
    </row>
    <row r="38" spans="1:60" x14ac:dyDescent="0.25">
      <c r="A38" s="1"/>
      <c r="D38" s="26"/>
      <c r="F38" s="28"/>
      <c r="G38" s="28"/>
      <c r="H38" s="1"/>
      <c r="I38" s="1"/>
    </row>
    <row r="39" spans="1:60" x14ac:dyDescent="0.25">
      <c r="A39" s="1"/>
      <c r="D39" s="26"/>
      <c r="F39" s="28"/>
      <c r="G39" s="28"/>
      <c r="H39" s="1"/>
      <c r="I39" s="1"/>
    </row>
    <row r="47" spans="1:60" x14ac:dyDescent="0.25">
      <c r="AH47" t="s">
        <v>21</v>
      </c>
    </row>
    <row r="48" spans="1:60" x14ac:dyDescent="0.25">
      <c r="AH48" t="s">
        <v>22</v>
      </c>
    </row>
    <row r="49" spans="34:34" x14ac:dyDescent="0.25">
      <c r="AH49" t="s">
        <v>23</v>
      </c>
    </row>
  </sheetData>
  <mergeCells count="14">
    <mergeCell ref="A3:C3"/>
    <mergeCell ref="A4:C4"/>
    <mergeCell ref="A2:E2"/>
    <mergeCell ref="AN6:AT6"/>
    <mergeCell ref="AU6:BA6"/>
    <mergeCell ref="BB6:BH6"/>
    <mergeCell ref="B7:C7"/>
    <mergeCell ref="D7:E7"/>
    <mergeCell ref="F6:I6"/>
    <mergeCell ref="K6:N6"/>
    <mergeCell ref="Q6:R6"/>
    <mergeCell ref="S6:Y6"/>
    <mergeCell ref="Z6:AF6"/>
    <mergeCell ref="AG6:AM6"/>
  </mergeCells>
  <phoneticPr fontId="4" type="noConversion"/>
  <conditionalFormatting sqref="D9:D39">
    <cfRule type="dataBar" priority="13">
      <dataBar>
        <cfvo type="num" val="0"/>
        <cfvo type="num" val="1"/>
        <color theme="6" tint="0.59999389629810485"/>
      </dataBar>
      <extLst>
        <ext xmlns:x14="http://schemas.microsoft.com/office/spreadsheetml/2009/9/main" uri="{B025F937-C7B1-47D3-B67F-A62EFF666E3E}">
          <x14:id>{8AD5C9B1-7C93-4D37-9E4C-390D33142898}</x14:id>
        </ext>
      </extLst>
    </cfRule>
  </conditionalFormatting>
  <conditionalFormatting sqref="S9:BH33 S34:S39 U34:W39">
    <cfRule type="expression" dxfId="23" priority="14">
      <formula>S$7=TODAY()</formula>
    </cfRule>
    <cfRule type="expression" dxfId="22" priority="15">
      <formula>AND(S$7&gt;=$F9,S$7&lt;=((($G9-$F9+1)*$D9)+$F9-1))</formula>
    </cfRule>
    <cfRule type="expression" dxfId="21" priority="16">
      <formula>AND(S$7&gt;=$F9,S$7&lt;=$G9)</formula>
    </cfRule>
  </conditionalFormatting>
  <conditionalFormatting sqref="X17:BH17">
    <cfRule type="expression" dxfId="20" priority="10">
      <formula>X$7=TODAY()</formula>
    </cfRule>
    <cfRule type="expression" dxfId="19" priority="11">
      <formula>AND(X$7&gt;=$F17,X$7&lt;=((($G17-$F17+1)*$D17)+$F17-1))</formula>
    </cfRule>
    <cfRule type="expression" dxfId="18" priority="12">
      <formula>AND(X$7&gt;=$F17,X$7&lt;=$G17)</formula>
    </cfRule>
  </conditionalFormatting>
  <conditionalFormatting sqref="X25:BH25">
    <cfRule type="expression" dxfId="17" priority="7">
      <formula>X$7=TODAY()</formula>
    </cfRule>
    <cfRule type="expression" dxfId="16" priority="8">
      <formula>AND(X$7&gt;=$F25,X$7&lt;=((($G25-$F25+1)*$D25)+$F25-1))</formula>
    </cfRule>
    <cfRule type="expression" dxfId="15" priority="9">
      <formula>AND(X$7&gt;=$F25,X$7&lt;=$G25)</formula>
    </cfRule>
  </conditionalFormatting>
  <conditionalFormatting sqref="X33:BH33">
    <cfRule type="expression" dxfId="14" priority="1">
      <formula>X$7=TODAY()</formula>
    </cfRule>
    <cfRule type="expression" dxfId="13" priority="2">
      <formula>AND(X$7&gt;=$F33,X$7&lt;=((($G33-$F33+1)*$D33)+$F33-1))</formula>
    </cfRule>
    <cfRule type="expression" dxfId="12" priority="3">
      <formula>AND(X$7&gt;=$F33,X$7&lt;=$G33)</formula>
    </cfRule>
  </conditionalFormatting>
  <pageMargins left="0.25" right="0.25" top="0.75" bottom="0.75" header="0.3" footer="0.3"/>
  <pageSetup scale="94" fitToWidth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Scroll Bar 1">
              <controlPr defaultSize="0" autoPict="0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3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D5C9B1-7C93-4D37-9E4C-390D3314289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theme="6" tint="0.59999389629810485"/>
              <x14:negativeFillColor rgb="FFFF0000"/>
              <x14:negativeBorderColor rgb="FFFF0000"/>
              <x14:axisColor rgb="FF000000"/>
            </x14:dataBar>
          </x14:cfRule>
          <xm:sqref>D9:D39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50CB7-2F94-4BB8-831A-222FD5C1C274}">
  <sheetPr>
    <pageSetUpPr fitToPage="1"/>
  </sheetPr>
  <dimension ref="A1:EG49"/>
  <sheetViews>
    <sheetView showGridLines="0" tabSelected="1" zoomScaleNormal="100"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E18" sqref="E18"/>
    </sheetView>
  </sheetViews>
  <sheetFormatPr baseColWidth="10" defaultRowHeight="15" x14ac:dyDescent="0.25"/>
  <cols>
    <col min="1" max="1" width="3.7109375" customWidth="1"/>
    <col min="2" max="2" width="8.7109375" customWidth="1"/>
    <col min="3" max="3" width="31.85546875" customWidth="1"/>
    <col min="4" max="5" width="10.7109375" style="1" customWidth="1"/>
    <col min="6" max="7" width="10.7109375" customWidth="1"/>
    <col min="8" max="8" width="10.28515625" bestFit="1" customWidth="1"/>
    <col min="9" max="9" width="10.28515625" customWidth="1"/>
    <col min="10" max="10" width="14.7109375" customWidth="1"/>
    <col min="11" max="14" width="10.28515625" customWidth="1"/>
    <col min="15" max="16" width="20.7109375" customWidth="1"/>
    <col min="17" max="18" width="11.7109375" customWidth="1"/>
    <col min="19" max="137" width="3.7109375" customWidth="1"/>
  </cols>
  <sheetData>
    <row r="1" spans="1:137" s="15" customFormat="1" x14ac:dyDescent="0.25"/>
    <row r="2" spans="1:137" s="15" customFormat="1" ht="30" customHeight="1" x14ac:dyDescent="0.25">
      <c r="A2" s="34" t="s">
        <v>213</v>
      </c>
      <c r="B2" s="34"/>
      <c r="C2" s="34"/>
      <c r="D2" s="34"/>
      <c r="E2" s="34"/>
    </row>
    <row r="3" spans="1:137" ht="21" customHeight="1" x14ac:dyDescent="0.25">
      <c r="A3" s="35" t="s">
        <v>195</v>
      </c>
      <c r="B3" s="35"/>
      <c r="C3" s="35"/>
    </row>
    <row r="4" spans="1:137" ht="21" customHeight="1" x14ac:dyDescent="0.35">
      <c r="A4" s="36" t="s">
        <v>196</v>
      </c>
      <c r="B4" s="36"/>
      <c r="C4" s="36"/>
    </row>
    <row r="6" spans="1:137" x14ac:dyDescent="0.25">
      <c r="B6">
        <v>0</v>
      </c>
      <c r="C6" s="3">
        <f>D7+B6</f>
        <v>46113</v>
      </c>
      <c r="F6" s="37" t="s">
        <v>141</v>
      </c>
      <c r="G6" s="37"/>
      <c r="H6" s="37"/>
      <c r="I6" s="37"/>
      <c r="K6" s="37" t="s">
        <v>142</v>
      </c>
      <c r="L6" s="37"/>
      <c r="M6" s="37"/>
      <c r="N6" s="37"/>
      <c r="Q6" s="37" t="s">
        <v>150</v>
      </c>
      <c r="R6" s="37"/>
      <c r="S6" s="31">
        <f>S7</f>
        <v>46113</v>
      </c>
      <c r="T6" s="31"/>
      <c r="U6" s="31"/>
      <c r="V6" s="31"/>
      <c r="W6" s="31"/>
      <c r="X6" s="31"/>
      <c r="Y6" s="31"/>
      <c r="Z6" s="31">
        <f>Z7</f>
        <v>46120</v>
      </c>
      <c r="AA6" s="31"/>
      <c r="AB6" s="31"/>
      <c r="AC6" s="31"/>
      <c r="AD6" s="31"/>
      <c r="AE6" s="31"/>
      <c r="AF6" s="31"/>
      <c r="AG6" s="31">
        <f>AG7</f>
        <v>46127</v>
      </c>
      <c r="AH6" s="31"/>
      <c r="AI6" s="31"/>
      <c r="AJ6" s="31"/>
      <c r="AK6" s="31"/>
      <c r="AL6" s="31"/>
      <c r="AM6" s="31"/>
      <c r="AN6" s="31">
        <f>AN7</f>
        <v>46134</v>
      </c>
      <c r="AO6" s="31"/>
      <c r="AP6" s="31"/>
      <c r="AQ6" s="31"/>
      <c r="AR6" s="31"/>
      <c r="AS6" s="31"/>
      <c r="AT6" s="31"/>
      <c r="AU6" s="31">
        <f>AU7</f>
        <v>46141</v>
      </c>
      <c r="AV6" s="31"/>
      <c r="AW6" s="31"/>
      <c r="AX6" s="31"/>
      <c r="AY6" s="31"/>
      <c r="AZ6" s="31"/>
      <c r="BA6" s="31"/>
      <c r="BB6" s="31">
        <f>BB7</f>
        <v>46148</v>
      </c>
      <c r="BC6" s="31"/>
      <c r="BD6" s="31"/>
      <c r="BE6" s="31"/>
      <c r="BF6" s="31"/>
      <c r="BG6" s="31"/>
      <c r="BH6" s="31"/>
      <c r="BI6" s="31">
        <f t="shared" ref="BI6" si="0">BI7</f>
        <v>46155</v>
      </c>
      <c r="BJ6" s="31"/>
      <c r="BK6" s="31"/>
      <c r="BL6" s="31"/>
      <c r="BM6" s="31"/>
      <c r="BN6" s="31"/>
      <c r="BO6" s="31"/>
      <c r="BP6" s="31">
        <f t="shared" ref="BP6" si="1">BP7</f>
        <v>46162</v>
      </c>
      <c r="BQ6" s="31"/>
      <c r="BR6" s="31"/>
      <c r="BS6" s="31"/>
      <c r="BT6" s="31"/>
      <c r="BU6" s="31"/>
      <c r="BV6" s="31"/>
      <c r="BW6" s="31">
        <f t="shared" ref="BW6" si="2">BW7</f>
        <v>46169</v>
      </c>
      <c r="BX6" s="31"/>
      <c r="BY6" s="31"/>
      <c r="BZ6" s="31"/>
      <c r="CA6" s="31"/>
      <c r="CB6" s="31"/>
      <c r="CC6" s="31"/>
      <c r="CD6" s="31">
        <f t="shared" ref="CD6" si="3">CD7</f>
        <v>46176</v>
      </c>
      <c r="CE6" s="31"/>
      <c r="CF6" s="31"/>
      <c r="CG6" s="31"/>
      <c r="CH6" s="31"/>
      <c r="CI6" s="31"/>
      <c r="CJ6" s="31"/>
      <c r="CK6" s="31">
        <f t="shared" ref="CK6" si="4">CK7</f>
        <v>46183</v>
      </c>
      <c r="CL6" s="31"/>
      <c r="CM6" s="31"/>
      <c r="CN6" s="31"/>
      <c r="CO6" s="31"/>
      <c r="CP6" s="31"/>
      <c r="CQ6" s="31"/>
      <c r="CR6" s="31">
        <f t="shared" ref="CR6" si="5">CR7</f>
        <v>46190</v>
      </c>
      <c r="CS6" s="31"/>
      <c r="CT6" s="31"/>
      <c r="CU6" s="31"/>
      <c r="CV6" s="31"/>
      <c r="CW6" s="31"/>
      <c r="CX6" s="31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</row>
    <row r="7" spans="1:137" x14ac:dyDescent="0.25">
      <c r="B7" s="32" t="s">
        <v>20</v>
      </c>
      <c r="C7" s="32"/>
      <c r="D7" s="33">
        <v>46113</v>
      </c>
      <c r="E7" s="33"/>
      <c r="F7" s="16"/>
      <c r="G7" s="16"/>
      <c r="H7" s="16"/>
      <c r="I7" s="16"/>
      <c r="J7" s="1"/>
      <c r="K7" s="16"/>
      <c r="L7" s="16"/>
      <c r="M7" s="16"/>
      <c r="N7" s="16"/>
      <c r="O7" s="1"/>
      <c r="P7" s="1"/>
      <c r="Q7" s="16"/>
      <c r="R7" s="17"/>
      <c r="S7" s="4">
        <f>C6</f>
        <v>46113</v>
      </c>
      <c r="T7" s="4">
        <f>S7+1</f>
        <v>46114</v>
      </c>
      <c r="U7" s="4">
        <f t="shared" ref="U7:AI7" si="6">T7+1</f>
        <v>46115</v>
      </c>
      <c r="V7" s="4">
        <f t="shared" si="6"/>
        <v>46116</v>
      </c>
      <c r="W7" s="4">
        <f t="shared" si="6"/>
        <v>46117</v>
      </c>
      <c r="X7" s="4">
        <f t="shared" si="6"/>
        <v>46118</v>
      </c>
      <c r="Y7" s="4">
        <f t="shared" si="6"/>
        <v>46119</v>
      </c>
      <c r="Z7" s="4">
        <f t="shared" si="6"/>
        <v>46120</v>
      </c>
      <c r="AA7" s="4">
        <f t="shared" si="6"/>
        <v>46121</v>
      </c>
      <c r="AB7" s="4">
        <f t="shared" si="6"/>
        <v>46122</v>
      </c>
      <c r="AC7" s="4">
        <f t="shared" si="6"/>
        <v>46123</v>
      </c>
      <c r="AD7" s="4">
        <f t="shared" si="6"/>
        <v>46124</v>
      </c>
      <c r="AE7" s="4">
        <f t="shared" si="6"/>
        <v>46125</v>
      </c>
      <c r="AF7" s="4">
        <f t="shared" si="6"/>
        <v>46126</v>
      </c>
      <c r="AG7" s="4">
        <f t="shared" si="6"/>
        <v>46127</v>
      </c>
      <c r="AH7" s="4">
        <f t="shared" si="6"/>
        <v>46128</v>
      </c>
      <c r="AI7" s="4">
        <f t="shared" si="6"/>
        <v>46129</v>
      </c>
      <c r="AJ7" s="4">
        <f>AI7+1</f>
        <v>46130</v>
      </c>
      <c r="AK7" s="4">
        <f t="shared" ref="AK7:BH7" si="7">AJ7+1</f>
        <v>46131</v>
      </c>
      <c r="AL7" s="4">
        <f t="shared" si="7"/>
        <v>46132</v>
      </c>
      <c r="AM7" s="4">
        <f t="shared" si="7"/>
        <v>46133</v>
      </c>
      <c r="AN7" s="4">
        <f t="shared" si="7"/>
        <v>46134</v>
      </c>
      <c r="AO7" s="4">
        <f t="shared" si="7"/>
        <v>46135</v>
      </c>
      <c r="AP7" s="4">
        <f t="shared" si="7"/>
        <v>46136</v>
      </c>
      <c r="AQ7" s="4">
        <f t="shared" si="7"/>
        <v>46137</v>
      </c>
      <c r="AR7" s="4">
        <f t="shared" si="7"/>
        <v>46138</v>
      </c>
      <c r="AS7" s="4">
        <f t="shared" si="7"/>
        <v>46139</v>
      </c>
      <c r="AT7" s="4">
        <f t="shared" si="7"/>
        <v>46140</v>
      </c>
      <c r="AU7" s="4">
        <f t="shared" si="7"/>
        <v>46141</v>
      </c>
      <c r="AV7" s="4">
        <f t="shared" si="7"/>
        <v>46142</v>
      </c>
      <c r="AW7" s="4">
        <f t="shared" si="7"/>
        <v>46143</v>
      </c>
      <c r="AX7" s="4">
        <f t="shared" si="7"/>
        <v>46144</v>
      </c>
      <c r="AY7" s="4">
        <f t="shared" si="7"/>
        <v>46145</v>
      </c>
      <c r="AZ7" s="4">
        <f t="shared" si="7"/>
        <v>46146</v>
      </c>
      <c r="BA7" s="4">
        <f t="shared" si="7"/>
        <v>46147</v>
      </c>
      <c r="BB7" s="4">
        <f t="shared" si="7"/>
        <v>46148</v>
      </c>
      <c r="BC7" s="4">
        <f t="shared" si="7"/>
        <v>46149</v>
      </c>
      <c r="BD7" s="4">
        <f t="shared" si="7"/>
        <v>46150</v>
      </c>
      <c r="BE7" s="4">
        <f t="shared" si="7"/>
        <v>46151</v>
      </c>
      <c r="BF7" s="4">
        <f t="shared" si="7"/>
        <v>46152</v>
      </c>
      <c r="BG7" s="4">
        <f t="shared" si="7"/>
        <v>46153</v>
      </c>
      <c r="BH7" s="4">
        <f t="shared" si="7"/>
        <v>46154</v>
      </c>
      <c r="BI7" s="4">
        <f t="shared" ref="BI7" si="8">BH7+1</f>
        <v>46155</v>
      </c>
      <c r="BJ7" s="4">
        <f t="shared" ref="BJ7" si="9">BI7+1</f>
        <v>46156</v>
      </c>
      <c r="BK7" s="4">
        <f t="shared" ref="BK7" si="10">BJ7+1</f>
        <v>46157</v>
      </c>
      <c r="BL7" s="4">
        <f t="shared" ref="BL7" si="11">BK7+1</f>
        <v>46158</v>
      </c>
      <c r="BM7" s="4">
        <f t="shared" ref="BM7" si="12">BL7+1</f>
        <v>46159</v>
      </c>
      <c r="BN7" s="4">
        <f t="shared" ref="BN7" si="13">BM7+1</f>
        <v>46160</v>
      </c>
      <c r="BO7" s="4">
        <f t="shared" ref="BO7" si="14">BN7+1</f>
        <v>46161</v>
      </c>
      <c r="BP7" s="4">
        <f t="shared" ref="BP7" si="15">BO7+1</f>
        <v>46162</v>
      </c>
      <c r="BQ7" s="4">
        <f t="shared" ref="BQ7" si="16">BP7+1</f>
        <v>46163</v>
      </c>
      <c r="BR7" s="4">
        <f t="shared" ref="BR7" si="17">BQ7+1</f>
        <v>46164</v>
      </c>
      <c r="BS7" s="4">
        <f t="shared" ref="BS7" si="18">BR7+1</f>
        <v>46165</v>
      </c>
      <c r="BT7" s="4">
        <f t="shared" ref="BT7" si="19">BS7+1</f>
        <v>46166</v>
      </c>
      <c r="BU7" s="4">
        <f t="shared" ref="BU7" si="20">BT7+1</f>
        <v>46167</v>
      </c>
      <c r="BV7" s="4">
        <f t="shared" ref="BV7" si="21">BU7+1</f>
        <v>46168</v>
      </c>
      <c r="BW7" s="4">
        <f t="shared" ref="BW7" si="22">BV7+1</f>
        <v>46169</v>
      </c>
      <c r="BX7" s="4">
        <f t="shared" ref="BX7" si="23">BW7+1</f>
        <v>46170</v>
      </c>
      <c r="BY7" s="4">
        <f t="shared" ref="BY7" si="24">BX7+1</f>
        <v>46171</v>
      </c>
      <c r="BZ7" s="4">
        <f t="shared" ref="BZ7" si="25">BY7+1</f>
        <v>46172</v>
      </c>
      <c r="CA7" s="4">
        <f t="shared" ref="CA7" si="26">BZ7+1</f>
        <v>46173</v>
      </c>
      <c r="CB7" s="4">
        <f t="shared" ref="CB7" si="27">CA7+1</f>
        <v>46174</v>
      </c>
      <c r="CC7" s="4">
        <f t="shared" ref="CC7" si="28">CB7+1</f>
        <v>46175</v>
      </c>
      <c r="CD7" s="4">
        <f t="shared" ref="CD7" si="29">CC7+1</f>
        <v>46176</v>
      </c>
      <c r="CE7" s="4">
        <f t="shared" ref="CE7" si="30">CD7+1</f>
        <v>46177</v>
      </c>
      <c r="CF7" s="4">
        <f t="shared" ref="CF7" si="31">CE7+1</f>
        <v>46178</v>
      </c>
      <c r="CG7" s="4">
        <f t="shared" ref="CG7" si="32">CF7+1</f>
        <v>46179</v>
      </c>
      <c r="CH7" s="4">
        <f t="shared" ref="CH7" si="33">CG7+1</f>
        <v>46180</v>
      </c>
      <c r="CI7" s="4">
        <f t="shared" ref="CI7" si="34">CH7+1</f>
        <v>46181</v>
      </c>
      <c r="CJ7" s="4">
        <f t="shared" ref="CJ7" si="35">CI7+1</f>
        <v>46182</v>
      </c>
      <c r="CK7" s="4">
        <f t="shared" ref="CK7" si="36">CJ7+1</f>
        <v>46183</v>
      </c>
      <c r="CL7" s="4">
        <f t="shared" ref="CL7" si="37">CK7+1</f>
        <v>46184</v>
      </c>
      <c r="CM7" s="4">
        <f t="shared" ref="CM7" si="38">CL7+1</f>
        <v>46185</v>
      </c>
      <c r="CN7" s="4">
        <f t="shared" ref="CN7" si="39">CM7+1</f>
        <v>46186</v>
      </c>
      <c r="CO7" s="4">
        <f t="shared" ref="CO7" si="40">CN7+1</f>
        <v>46187</v>
      </c>
      <c r="CP7" s="4">
        <f t="shared" ref="CP7" si="41">CO7+1</f>
        <v>46188</v>
      </c>
      <c r="CQ7" s="4">
        <f t="shared" ref="CQ7" si="42">CP7+1</f>
        <v>46189</v>
      </c>
      <c r="CR7" s="4">
        <f t="shared" ref="CR7" si="43">CQ7+1</f>
        <v>46190</v>
      </c>
      <c r="CS7" s="4">
        <f t="shared" ref="CS7" si="44">CR7+1</f>
        <v>46191</v>
      </c>
      <c r="CT7" s="4">
        <f t="shared" ref="CT7" si="45">CS7+1</f>
        <v>46192</v>
      </c>
      <c r="CU7" s="4">
        <f t="shared" ref="CU7" si="46">CT7+1</f>
        <v>46193</v>
      </c>
      <c r="CV7" s="4">
        <f t="shared" ref="CV7" si="47">CU7+1</f>
        <v>46194</v>
      </c>
      <c r="CW7" s="4">
        <f t="shared" ref="CW7" si="48">CV7+1</f>
        <v>46195</v>
      </c>
      <c r="CX7" s="4">
        <f t="shared" ref="CX7" si="49">CW7+1</f>
        <v>46196</v>
      </c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</row>
    <row r="8" spans="1:137" s="15" customFormat="1" ht="15.75" thickBot="1" x14ac:dyDescent="0.3">
      <c r="A8" s="2" t="s">
        <v>137</v>
      </c>
      <c r="B8" s="2" t="s">
        <v>26</v>
      </c>
      <c r="C8" s="2" t="s">
        <v>0</v>
      </c>
      <c r="D8" s="2" t="s">
        <v>2</v>
      </c>
      <c r="E8" s="2" t="s">
        <v>212</v>
      </c>
      <c r="F8" s="2" t="s">
        <v>3</v>
      </c>
      <c r="G8" s="2" t="s">
        <v>4</v>
      </c>
      <c r="H8" s="2" t="s">
        <v>138</v>
      </c>
      <c r="I8" s="2" t="s">
        <v>139</v>
      </c>
      <c r="J8" s="2" t="s">
        <v>140</v>
      </c>
      <c r="K8" s="2" t="s">
        <v>3</v>
      </c>
      <c r="L8" s="2" t="s">
        <v>4</v>
      </c>
      <c r="M8" s="2" t="s">
        <v>138</v>
      </c>
      <c r="N8" s="2" t="s">
        <v>139</v>
      </c>
      <c r="O8" s="2" t="s">
        <v>143</v>
      </c>
      <c r="P8" s="2" t="s">
        <v>144</v>
      </c>
      <c r="Q8" s="2" t="s">
        <v>149</v>
      </c>
      <c r="R8" s="2" t="s">
        <v>139</v>
      </c>
      <c r="S8" s="2" t="str">
        <f>UPPER(LEFT(TEXT(S7,"ddd"),1))</f>
        <v>M</v>
      </c>
      <c r="T8" s="2" t="str">
        <f t="shared" ref="T8:BH8" si="50">UPPER(LEFT(TEXT(T7,"ddd"),1))</f>
        <v>J</v>
      </c>
      <c r="U8" s="2" t="str">
        <f t="shared" si="50"/>
        <v>V</v>
      </c>
      <c r="V8" s="2" t="str">
        <f t="shared" si="50"/>
        <v>S</v>
      </c>
      <c r="W8" s="2" t="str">
        <f t="shared" si="50"/>
        <v>D</v>
      </c>
      <c r="X8" s="2" t="str">
        <f t="shared" si="50"/>
        <v>L</v>
      </c>
      <c r="Y8" s="2" t="str">
        <f t="shared" si="50"/>
        <v>M</v>
      </c>
      <c r="Z8" s="2" t="str">
        <f t="shared" si="50"/>
        <v>M</v>
      </c>
      <c r="AA8" s="2" t="str">
        <f t="shared" si="50"/>
        <v>J</v>
      </c>
      <c r="AB8" s="2" t="str">
        <f t="shared" si="50"/>
        <v>V</v>
      </c>
      <c r="AC8" s="2" t="str">
        <f t="shared" si="50"/>
        <v>S</v>
      </c>
      <c r="AD8" s="2" t="str">
        <f t="shared" si="50"/>
        <v>D</v>
      </c>
      <c r="AE8" s="2" t="str">
        <f t="shared" si="50"/>
        <v>L</v>
      </c>
      <c r="AF8" s="2" t="str">
        <f t="shared" si="50"/>
        <v>M</v>
      </c>
      <c r="AG8" s="2" t="str">
        <f t="shared" si="50"/>
        <v>M</v>
      </c>
      <c r="AH8" s="2" t="str">
        <f t="shared" si="50"/>
        <v>J</v>
      </c>
      <c r="AI8" s="2" t="str">
        <f t="shared" si="50"/>
        <v>V</v>
      </c>
      <c r="AJ8" s="2" t="str">
        <f t="shared" si="50"/>
        <v>S</v>
      </c>
      <c r="AK8" s="2" t="str">
        <f t="shared" si="50"/>
        <v>D</v>
      </c>
      <c r="AL8" s="2" t="str">
        <f t="shared" si="50"/>
        <v>L</v>
      </c>
      <c r="AM8" s="2" t="str">
        <f t="shared" si="50"/>
        <v>M</v>
      </c>
      <c r="AN8" s="2" t="str">
        <f t="shared" si="50"/>
        <v>M</v>
      </c>
      <c r="AO8" s="2" t="str">
        <f t="shared" si="50"/>
        <v>J</v>
      </c>
      <c r="AP8" s="2" t="str">
        <f t="shared" si="50"/>
        <v>V</v>
      </c>
      <c r="AQ8" s="2" t="str">
        <f t="shared" si="50"/>
        <v>S</v>
      </c>
      <c r="AR8" s="2" t="str">
        <f t="shared" si="50"/>
        <v>D</v>
      </c>
      <c r="AS8" s="2" t="str">
        <f t="shared" si="50"/>
        <v>L</v>
      </c>
      <c r="AT8" s="2" t="str">
        <f t="shared" si="50"/>
        <v>M</v>
      </c>
      <c r="AU8" s="2" t="str">
        <f t="shared" si="50"/>
        <v>M</v>
      </c>
      <c r="AV8" s="2" t="str">
        <f t="shared" si="50"/>
        <v>J</v>
      </c>
      <c r="AW8" s="2" t="str">
        <f t="shared" si="50"/>
        <v>V</v>
      </c>
      <c r="AX8" s="2" t="str">
        <f t="shared" si="50"/>
        <v>S</v>
      </c>
      <c r="AY8" s="2" t="str">
        <f t="shared" si="50"/>
        <v>D</v>
      </c>
      <c r="AZ8" s="2" t="str">
        <f t="shared" si="50"/>
        <v>L</v>
      </c>
      <c r="BA8" s="2" t="str">
        <f t="shared" si="50"/>
        <v>M</v>
      </c>
      <c r="BB8" s="2" t="str">
        <f t="shared" si="50"/>
        <v>M</v>
      </c>
      <c r="BC8" s="2" t="str">
        <f t="shared" si="50"/>
        <v>J</v>
      </c>
      <c r="BD8" s="2" t="str">
        <f t="shared" si="50"/>
        <v>V</v>
      </c>
      <c r="BE8" s="2" t="str">
        <f t="shared" si="50"/>
        <v>S</v>
      </c>
      <c r="BF8" s="2" t="str">
        <f t="shared" si="50"/>
        <v>D</v>
      </c>
      <c r="BG8" s="2" t="str">
        <f t="shared" si="50"/>
        <v>L</v>
      </c>
      <c r="BH8" s="2" t="str">
        <f t="shared" si="50"/>
        <v>M</v>
      </c>
      <c r="BI8" s="2" t="str">
        <f t="shared" ref="BI8:CC8" si="51">UPPER(LEFT(TEXT(BI7,"ddd"),1))</f>
        <v>M</v>
      </c>
      <c r="BJ8" s="2" t="str">
        <f t="shared" si="51"/>
        <v>J</v>
      </c>
      <c r="BK8" s="2" t="str">
        <f t="shared" si="51"/>
        <v>V</v>
      </c>
      <c r="BL8" s="2" t="str">
        <f t="shared" si="51"/>
        <v>S</v>
      </c>
      <c r="BM8" s="2" t="str">
        <f t="shared" si="51"/>
        <v>D</v>
      </c>
      <c r="BN8" s="2" t="str">
        <f t="shared" si="51"/>
        <v>L</v>
      </c>
      <c r="BO8" s="2" t="str">
        <f t="shared" si="51"/>
        <v>M</v>
      </c>
      <c r="BP8" s="2" t="str">
        <f t="shared" si="51"/>
        <v>M</v>
      </c>
      <c r="BQ8" s="2" t="str">
        <f t="shared" si="51"/>
        <v>J</v>
      </c>
      <c r="BR8" s="2" t="str">
        <f t="shared" si="51"/>
        <v>V</v>
      </c>
      <c r="BS8" s="2" t="str">
        <f t="shared" si="51"/>
        <v>S</v>
      </c>
      <c r="BT8" s="2" t="str">
        <f t="shared" si="51"/>
        <v>D</v>
      </c>
      <c r="BU8" s="2" t="str">
        <f t="shared" si="51"/>
        <v>L</v>
      </c>
      <c r="BV8" s="2" t="str">
        <f t="shared" si="51"/>
        <v>M</v>
      </c>
      <c r="BW8" s="2" t="str">
        <f t="shared" si="51"/>
        <v>M</v>
      </c>
      <c r="BX8" s="2" t="str">
        <f t="shared" si="51"/>
        <v>J</v>
      </c>
      <c r="BY8" s="2" t="str">
        <f t="shared" si="51"/>
        <v>V</v>
      </c>
      <c r="BZ8" s="2" t="str">
        <f t="shared" si="51"/>
        <v>S</v>
      </c>
      <c r="CA8" s="2" t="str">
        <f t="shared" si="51"/>
        <v>D</v>
      </c>
      <c r="CB8" s="2" t="str">
        <f t="shared" si="51"/>
        <v>L</v>
      </c>
      <c r="CC8" s="2" t="str">
        <f t="shared" si="51"/>
        <v>M</v>
      </c>
      <c r="CD8" s="2" t="str">
        <f t="shared" ref="CD8:CX8" si="52">UPPER(LEFT(TEXT(CD7,"ddd"),1))</f>
        <v>M</v>
      </c>
      <c r="CE8" s="2" t="str">
        <f t="shared" si="52"/>
        <v>J</v>
      </c>
      <c r="CF8" s="2" t="str">
        <f t="shared" si="52"/>
        <v>V</v>
      </c>
      <c r="CG8" s="2" t="str">
        <f t="shared" si="52"/>
        <v>S</v>
      </c>
      <c r="CH8" s="2" t="str">
        <f t="shared" si="52"/>
        <v>D</v>
      </c>
      <c r="CI8" s="2" t="str">
        <f t="shared" si="52"/>
        <v>L</v>
      </c>
      <c r="CJ8" s="2" t="str">
        <f t="shared" si="52"/>
        <v>M</v>
      </c>
      <c r="CK8" s="2" t="str">
        <f t="shared" si="52"/>
        <v>M</v>
      </c>
      <c r="CL8" s="2" t="str">
        <f t="shared" si="52"/>
        <v>J</v>
      </c>
      <c r="CM8" s="2" t="str">
        <f t="shared" si="52"/>
        <v>V</v>
      </c>
      <c r="CN8" s="2" t="str">
        <f t="shared" si="52"/>
        <v>S</v>
      </c>
      <c r="CO8" s="2" t="str">
        <f t="shared" si="52"/>
        <v>D</v>
      </c>
      <c r="CP8" s="2" t="str">
        <f t="shared" si="52"/>
        <v>L</v>
      </c>
      <c r="CQ8" s="2" t="str">
        <f t="shared" si="52"/>
        <v>M</v>
      </c>
      <c r="CR8" s="2" t="str">
        <f t="shared" si="52"/>
        <v>M</v>
      </c>
      <c r="CS8" s="2" t="str">
        <f t="shared" si="52"/>
        <v>J</v>
      </c>
      <c r="CT8" s="2" t="str">
        <f t="shared" si="52"/>
        <v>V</v>
      </c>
      <c r="CU8" s="2" t="str">
        <f t="shared" si="52"/>
        <v>S</v>
      </c>
      <c r="CV8" s="2" t="str">
        <f t="shared" si="52"/>
        <v>D</v>
      </c>
      <c r="CW8" s="2" t="str">
        <f t="shared" si="52"/>
        <v>L</v>
      </c>
      <c r="CX8" s="2" t="str">
        <f t="shared" si="52"/>
        <v>M</v>
      </c>
    </row>
    <row r="9" spans="1:137" ht="15.75" thickBot="1" x14ac:dyDescent="0.3">
      <c r="A9" s="12"/>
      <c r="B9" s="12"/>
      <c r="C9" s="7" t="s">
        <v>162</v>
      </c>
      <c r="D9" s="14"/>
      <c r="E9" s="13"/>
      <c r="F9" s="10"/>
      <c r="G9" s="10"/>
      <c r="H9" s="8"/>
      <c r="I9" s="8"/>
      <c r="J9" s="8"/>
      <c r="K9" s="8"/>
      <c r="L9" s="8"/>
      <c r="M9" s="8"/>
      <c r="N9" s="8"/>
      <c r="O9" s="8"/>
      <c r="P9" s="8" t="s">
        <v>151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</row>
    <row r="10" spans="1:137" ht="15.75" thickBot="1" x14ac:dyDescent="0.3">
      <c r="A10" s="13">
        <v>1</v>
      </c>
      <c r="B10" s="8" t="s">
        <v>5</v>
      </c>
      <c r="C10" t="s">
        <v>206</v>
      </c>
      <c r="D10" s="14">
        <v>0</v>
      </c>
      <c r="E10" s="13" t="s">
        <v>9</v>
      </c>
      <c r="F10" s="10">
        <v>46113</v>
      </c>
      <c r="G10" s="10">
        <v>46116</v>
      </c>
      <c r="H10" s="13">
        <f>G10-F10+1</f>
        <v>4</v>
      </c>
      <c r="I10" s="13">
        <v>8</v>
      </c>
      <c r="J10" t="s">
        <v>161</v>
      </c>
      <c r="K10" s="8"/>
      <c r="L10" s="8"/>
      <c r="M10" s="8"/>
      <c r="N10" s="8"/>
      <c r="O10" t="s">
        <v>193</v>
      </c>
      <c r="P10" s="8" t="s">
        <v>151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</row>
    <row r="11" spans="1:137" ht="15.75" thickBot="1" x14ac:dyDescent="0.3">
      <c r="A11" s="13">
        <v>2</v>
      </c>
      <c r="B11" s="8" t="s">
        <v>6</v>
      </c>
      <c r="C11" s="8" t="s">
        <v>205</v>
      </c>
      <c r="D11" s="14">
        <v>0</v>
      </c>
      <c r="E11" s="13" t="s">
        <v>9</v>
      </c>
      <c r="F11" s="10">
        <v>46117</v>
      </c>
      <c r="G11" s="10">
        <v>46127</v>
      </c>
      <c r="H11" s="13">
        <f t="shared" ref="H11:H17" si="53">G11-F11+1</f>
        <v>11</v>
      </c>
      <c r="I11" s="13">
        <v>12</v>
      </c>
      <c r="J11" s="8" t="s">
        <v>161</v>
      </c>
      <c r="K11" s="8"/>
      <c r="L11" s="8"/>
      <c r="M11" s="8"/>
      <c r="N11" s="8"/>
      <c r="O11" s="8" t="s">
        <v>153</v>
      </c>
      <c r="P11" s="8" t="s">
        <v>151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</row>
    <row r="12" spans="1:137" ht="15.75" thickBot="1" x14ac:dyDescent="0.3">
      <c r="A12" s="13">
        <v>3</v>
      </c>
      <c r="B12" s="8" t="s">
        <v>7</v>
      </c>
      <c r="C12" t="s">
        <v>154</v>
      </c>
      <c r="D12" s="14">
        <v>0</v>
      </c>
      <c r="E12" s="13" t="s">
        <v>10</v>
      </c>
      <c r="F12" s="10">
        <v>46113</v>
      </c>
      <c r="G12" s="10">
        <v>46116</v>
      </c>
      <c r="H12" s="13">
        <f t="shared" si="53"/>
        <v>4</v>
      </c>
      <c r="I12" s="13">
        <v>6</v>
      </c>
      <c r="J12" t="s">
        <v>161</v>
      </c>
      <c r="K12" s="8"/>
      <c r="L12" s="8"/>
      <c r="M12" s="8"/>
      <c r="N12" s="8"/>
      <c r="P12" s="8" t="s">
        <v>151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</row>
    <row r="13" spans="1:137" ht="15.75" thickBot="1" x14ac:dyDescent="0.3">
      <c r="A13" s="13">
        <v>4</v>
      </c>
      <c r="B13" s="8" t="s">
        <v>8</v>
      </c>
      <c r="C13" s="8" t="s">
        <v>194</v>
      </c>
      <c r="D13" s="14">
        <v>0</v>
      </c>
      <c r="E13" s="13" t="s">
        <v>9</v>
      </c>
      <c r="F13" s="10">
        <v>46117</v>
      </c>
      <c r="G13" s="10">
        <v>46127</v>
      </c>
      <c r="H13" s="13">
        <f t="shared" si="53"/>
        <v>11</v>
      </c>
      <c r="I13" s="13">
        <v>10</v>
      </c>
      <c r="J13" s="8" t="s">
        <v>184</v>
      </c>
      <c r="K13" s="8"/>
      <c r="L13" s="8"/>
      <c r="M13" s="8"/>
      <c r="N13" s="8"/>
      <c r="O13" s="8" t="s">
        <v>155</v>
      </c>
      <c r="P13" s="8" t="s">
        <v>151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</row>
    <row r="14" spans="1:137" ht="15.75" thickBot="1" x14ac:dyDescent="0.3">
      <c r="A14" s="13">
        <v>5</v>
      </c>
      <c r="B14" s="8" t="s">
        <v>136</v>
      </c>
      <c r="C14" t="s">
        <v>197</v>
      </c>
      <c r="D14" s="14">
        <v>0</v>
      </c>
      <c r="E14" s="13" t="s">
        <v>10</v>
      </c>
      <c r="F14" s="10">
        <v>46122</v>
      </c>
      <c r="G14" s="10">
        <v>46125</v>
      </c>
      <c r="H14" s="13">
        <f t="shared" si="53"/>
        <v>4</v>
      </c>
      <c r="I14" s="13">
        <v>12</v>
      </c>
      <c r="J14" t="s">
        <v>161</v>
      </c>
      <c r="K14" s="8"/>
      <c r="L14" s="8"/>
      <c r="M14" s="8"/>
      <c r="N14" s="8"/>
      <c r="O14" t="s">
        <v>156</v>
      </c>
      <c r="P14" s="8" t="s">
        <v>151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</row>
    <row r="15" spans="1:137" ht="15.75" thickBot="1" x14ac:dyDescent="0.3">
      <c r="A15" s="13">
        <v>6</v>
      </c>
      <c r="B15" s="8" t="s">
        <v>159</v>
      </c>
      <c r="C15" s="8" t="s">
        <v>198</v>
      </c>
      <c r="D15" s="14">
        <v>0</v>
      </c>
      <c r="E15" s="13" t="s">
        <v>10</v>
      </c>
      <c r="F15" s="10">
        <v>46122</v>
      </c>
      <c r="G15" s="10">
        <v>46127</v>
      </c>
      <c r="H15" s="13">
        <f t="shared" si="53"/>
        <v>6</v>
      </c>
      <c r="I15" s="13">
        <v>14</v>
      </c>
      <c r="J15" s="8" t="s">
        <v>182</v>
      </c>
      <c r="K15" s="8"/>
      <c r="L15" s="8"/>
      <c r="M15" s="8"/>
      <c r="N15" s="8"/>
      <c r="O15" s="8" t="s">
        <v>157</v>
      </c>
      <c r="P15" s="8" t="s">
        <v>151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</row>
    <row r="16" spans="1:137" ht="15.75" thickBot="1" x14ac:dyDescent="0.3">
      <c r="A16" s="13">
        <v>7</v>
      </c>
      <c r="B16" s="8" t="s">
        <v>160</v>
      </c>
      <c r="C16" t="s">
        <v>199</v>
      </c>
      <c r="D16" s="14">
        <v>0</v>
      </c>
      <c r="E16" s="13" t="s">
        <v>57</v>
      </c>
      <c r="F16" s="10">
        <v>46128</v>
      </c>
      <c r="G16" s="10">
        <v>46139</v>
      </c>
      <c r="H16" s="13">
        <f t="shared" si="53"/>
        <v>12</v>
      </c>
      <c r="I16" s="13">
        <v>16</v>
      </c>
      <c r="J16" t="s">
        <v>183</v>
      </c>
      <c r="K16" s="8"/>
      <c r="L16" s="8"/>
      <c r="M16" s="8"/>
      <c r="N16" s="8"/>
      <c r="O16" t="s">
        <v>158</v>
      </c>
      <c r="P16" s="8" t="s">
        <v>151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</row>
    <row r="17" spans="1:137" s="25" customFormat="1" ht="15.75" thickBot="1" x14ac:dyDescent="0.3">
      <c r="A17" s="18"/>
      <c r="B17" s="18"/>
      <c r="C17" s="18" t="s">
        <v>164</v>
      </c>
      <c r="D17" s="14">
        <f>AVERAGE(D10:D16)</f>
        <v>0</v>
      </c>
      <c r="E17" s="19" t="s">
        <v>57</v>
      </c>
      <c r="F17" s="20">
        <v>46113</v>
      </c>
      <c r="G17" s="20">
        <v>46139</v>
      </c>
      <c r="H17" s="19">
        <f t="shared" si="53"/>
        <v>27</v>
      </c>
      <c r="I17" s="19">
        <f>SUM(I10:I16)</f>
        <v>78</v>
      </c>
      <c r="J17" s="18"/>
      <c r="K17" s="18"/>
      <c r="L17" s="18"/>
      <c r="M17" s="18"/>
      <c r="N17" s="18"/>
      <c r="O17" s="18" t="s">
        <v>165</v>
      </c>
      <c r="P17" s="8" t="s">
        <v>151</v>
      </c>
      <c r="Q17" s="18"/>
      <c r="R17" s="1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</row>
    <row r="18" spans="1:137" ht="15.75" thickBot="1" x14ac:dyDescent="0.3">
      <c r="A18" s="12"/>
      <c r="B18" s="12"/>
      <c r="C18" s="7" t="s">
        <v>163</v>
      </c>
      <c r="D18" s="14"/>
      <c r="E18" s="13"/>
      <c r="F18" s="10"/>
      <c r="G18" s="10"/>
      <c r="H18" s="13"/>
      <c r="I18" s="8"/>
      <c r="J18" s="8"/>
      <c r="K18" s="8"/>
      <c r="L18" s="8"/>
      <c r="M18" s="8"/>
      <c r="N18" s="8"/>
      <c r="O18" s="8"/>
      <c r="P18" s="8" t="s">
        <v>151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</row>
    <row r="19" spans="1:137" ht="15.75" thickBot="1" x14ac:dyDescent="0.3">
      <c r="A19" s="13">
        <v>8</v>
      </c>
      <c r="B19" s="8" t="s">
        <v>11</v>
      </c>
      <c r="C19" t="s">
        <v>166</v>
      </c>
      <c r="D19" s="14">
        <v>0</v>
      </c>
      <c r="E19" s="13" t="s">
        <v>57</v>
      </c>
      <c r="F19" s="10">
        <v>46142</v>
      </c>
      <c r="G19" s="10">
        <v>46146</v>
      </c>
      <c r="H19" s="13">
        <f>G19-F19+1</f>
        <v>5</v>
      </c>
      <c r="I19" s="13">
        <v>14</v>
      </c>
      <c r="J19" s="8" t="s">
        <v>185</v>
      </c>
      <c r="K19" s="8"/>
      <c r="L19" s="8"/>
      <c r="M19" s="8"/>
      <c r="N19" s="8"/>
      <c r="P19" s="8" t="s">
        <v>151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</row>
    <row r="20" spans="1:137" ht="15.75" thickBot="1" x14ac:dyDescent="0.3">
      <c r="A20" s="13">
        <v>9</v>
      </c>
      <c r="B20" s="8" t="s">
        <v>12</v>
      </c>
      <c r="C20" s="8" t="s">
        <v>200</v>
      </c>
      <c r="D20" s="14">
        <v>0</v>
      </c>
      <c r="E20" s="13" t="s">
        <v>57</v>
      </c>
      <c r="F20" s="10">
        <v>46121</v>
      </c>
      <c r="G20" s="10">
        <v>46125</v>
      </c>
      <c r="H20" s="13">
        <f t="shared" ref="H20:H25" si="54">G20-F20+1</f>
        <v>5</v>
      </c>
      <c r="I20" s="13">
        <v>18</v>
      </c>
      <c r="J20" t="s">
        <v>186</v>
      </c>
      <c r="K20" s="8"/>
      <c r="L20" s="8"/>
      <c r="M20" s="8"/>
      <c r="N20" s="8"/>
      <c r="O20" s="8" t="s">
        <v>167</v>
      </c>
      <c r="P20" s="8" t="s">
        <v>151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</row>
    <row r="21" spans="1:137" ht="15.75" thickBot="1" x14ac:dyDescent="0.3">
      <c r="A21" s="13">
        <v>10</v>
      </c>
      <c r="B21" s="8" t="s">
        <v>13</v>
      </c>
      <c r="C21" t="s">
        <v>168</v>
      </c>
      <c r="D21" s="14">
        <v>0</v>
      </c>
      <c r="E21" s="13" t="s">
        <v>10</v>
      </c>
      <c r="F21" s="10">
        <v>46148</v>
      </c>
      <c r="G21" s="10">
        <v>46153</v>
      </c>
      <c r="H21" s="13">
        <f t="shared" si="54"/>
        <v>6</v>
      </c>
      <c r="I21" s="13">
        <v>20</v>
      </c>
      <c r="J21" s="8" t="s">
        <v>187</v>
      </c>
      <c r="K21" s="8"/>
      <c r="L21" s="8"/>
      <c r="M21" s="8"/>
      <c r="N21" s="8"/>
      <c r="P21" s="8" t="s">
        <v>151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</row>
    <row r="22" spans="1:137" ht="15.75" thickBot="1" x14ac:dyDescent="0.3">
      <c r="A22" s="13">
        <v>11</v>
      </c>
      <c r="B22" s="8" t="s">
        <v>147</v>
      </c>
      <c r="C22" s="8" t="s">
        <v>202</v>
      </c>
      <c r="D22" s="14">
        <v>0</v>
      </c>
      <c r="E22" s="13" t="s">
        <v>9</v>
      </c>
      <c r="F22" s="10">
        <v>46148</v>
      </c>
      <c r="G22" s="10">
        <v>46155</v>
      </c>
      <c r="H22" s="13">
        <f t="shared" si="54"/>
        <v>8</v>
      </c>
      <c r="I22" s="13">
        <v>22</v>
      </c>
      <c r="J22" s="8" t="s">
        <v>185</v>
      </c>
      <c r="K22" s="8"/>
      <c r="L22" s="8"/>
      <c r="M22" s="8"/>
      <c r="N22" s="8"/>
      <c r="O22" s="8" t="s">
        <v>201</v>
      </c>
      <c r="P22" s="8" t="s">
        <v>151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</row>
    <row r="23" spans="1:137" ht="15.75" thickBot="1" x14ac:dyDescent="0.3">
      <c r="A23" s="13">
        <v>12</v>
      </c>
      <c r="B23" s="8" t="s">
        <v>145</v>
      </c>
      <c r="C23" s="8" t="s">
        <v>203</v>
      </c>
      <c r="D23" s="14">
        <v>0</v>
      </c>
      <c r="E23" s="13" t="s">
        <v>9</v>
      </c>
      <c r="F23" s="10">
        <v>46156</v>
      </c>
      <c r="G23" s="10">
        <v>46159</v>
      </c>
      <c r="H23" s="13">
        <f t="shared" si="54"/>
        <v>4</v>
      </c>
      <c r="I23" s="13">
        <v>10</v>
      </c>
      <c r="J23" t="s">
        <v>161</v>
      </c>
      <c r="K23" s="8"/>
      <c r="L23" s="8"/>
      <c r="M23" s="8"/>
      <c r="N23" s="8"/>
      <c r="O23" s="8" t="s">
        <v>169</v>
      </c>
      <c r="P23" s="8" t="s">
        <v>151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</row>
    <row r="24" spans="1:137" ht="15.75" thickBot="1" x14ac:dyDescent="0.3">
      <c r="A24" s="13">
        <v>13</v>
      </c>
      <c r="B24" s="8" t="s">
        <v>146</v>
      </c>
      <c r="C24" t="s">
        <v>204</v>
      </c>
      <c r="D24" s="14">
        <v>0</v>
      </c>
      <c r="E24" s="13" t="s">
        <v>57</v>
      </c>
      <c r="F24" s="10">
        <v>46160</v>
      </c>
      <c r="G24" s="10">
        <v>46167</v>
      </c>
      <c r="H24" s="13">
        <f t="shared" si="54"/>
        <v>8</v>
      </c>
      <c r="I24" s="13">
        <v>20</v>
      </c>
      <c r="J24" s="8" t="s">
        <v>188</v>
      </c>
      <c r="K24" s="8"/>
      <c r="L24" s="8"/>
      <c r="M24" s="8"/>
      <c r="N24" s="8"/>
      <c r="O24" t="s">
        <v>170</v>
      </c>
      <c r="P24" t="s">
        <v>151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</row>
    <row r="25" spans="1:137" s="25" customFormat="1" ht="15.75" thickBot="1" x14ac:dyDescent="0.3">
      <c r="A25" s="18"/>
      <c r="B25" s="18"/>
      <c r="C25" s="18" t="s">
        <v>171</v>
      </c>
      <c r="D25" s="14">
        <f>AVERAGE(D19:D24)</f>
        <v>0</v>
      </c>
      <c r="E25" s="19" t="s">
        <v>57</v>
      </c>
      <c r="F25" s="20">
        <v>46139</v>
      </c>
      <c r="G25" s="20">
        <v>46174</v>
      </c>
      <c r="H25" s="19">
        <f t="shared" si="54"/>
        <v>36</v>
      </c>
      <c r="I25" s="19">
        <f>SUM(I19:I24)</f>
        <v>104</v>
      </c>
      <c r="J25" s="18"/>
      <c r="K25" s="18"/>
      <c r="L25" s="18"/>
      <c r="M25" s="18"/>
      <c r="N25" s="18"/>
      <c r="O25" s="18" t="s">
        <v>180</v>
      </c>
      <c r="P25" s="8" t="s">
        <v>151</v>
      </c>
      <c r="Q25" s="18"/>
      <c r="R25" s="1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</row>
    <row r="26" spans="1:137" ht="15.75" thickBot="1" x14ac:dyDescent="0.3">
      <c r="A26" s="13"/>
      <c r="B26" s="13"/>
      <c r="C26" s="7" t="s">
        <v>181</v>
      </c>
      <c r="D26" s="14"/>
      <c r="E26" s="13"/>
      <c r="F26" s="10"/>
      <c r="G26" s="10"/>
      <c r="H26" s="13"/>
      <c r="I26" s="8"/>
      <c r="J26" s="8"/>
      <c r="K26" s="8"/>
      <c r="L26" s="8"/>
      <c r="M26" s="8"/>
      <c r="N26" s="8"/>
      <c r="O26" s="8"/>
      <c r="P26" s="8" t="s">
        <v>151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</row>
    <row r="27" spans="1:137" ht="15.75" thickBot="1" x14ac:dyDescent="0.3">
      <c r="A27" s="13">
        <v>14</v>
      </c>
      <c r="B27" s="8" t="s">
        <v>15</v>
      </c>
      <c r="C27" s="8" t="s">
        <v>172</v>
      </c>
      <c r="D27" s="14">
        <v>0</v>
      </c>
      <c r="E27" s="13" t="s">
        <v>57</v>
      </c>
      <c r="F27" s="10">
        <v>46175</v>
      </c>
      <c r="G27" s="10">
        <v>46180</v>
      </c>
      <c r="H27" s="13">
        <f>G27-F27+1</f>
        <v>6</v>
      </c>
      <c r="I27" s="13">
        <v>12</v>
      </c>
      <c r="J27" s="8" t="s">
        <v>189</v>
      </c>
      <c r="K27" s="8"/>
      <c r="L27" s="8"/>
      <c r="M27" s="8"/>
      <c r="N27" s="8"/>
      <c r="O27" s="8" t="s">
        <v>172</v>
      </c>
      <c r="P27" s="8" t="s">
        <v>151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</row>
    <row r="28" spans="1:137" ht="15.75" thickBot="1" x14ac:dyDescent="0.3">
      <c r="A28" s="13">
        <v>15</v>
      </c>
      <c r="B28" s="8" t="s">
        <v>16</v>
      </c>
      <c r="C28" t="s">
        <v>207</v>
      </c>
      <c r="D28" s="14">
        <v>0</v>
      </c>
      <c r="E28" s="13" t="s">
        <v>9</v>
      </c>
      <c r="F28" s="10">
        <v>46179</v>
      </c>
      <c r="G28" s="10">
        <v>46188</v>
      </c>
      <c r="H28" s="13">
        <f t="shared" ref="H28:H32" si="55">G28-F28+1</f>
        <v>10</v>
      </c>
      <c r="I28" s="13">
        <v>30</v>
      </c>
      <c r="J28" t="s">
        <v>189</v>
      </c>
      <c r="K28" s="8"/>
      <c r="L28" s="8"/>
      <c r="M28" s="8"/>
      <c r="N28" s="8"/>
      <c r="O28" t="s">
        <v>173</v>
      </c>
      <c r="P28" s="8" t="s">
        <v>151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</row>
    <row r="29" spans="1:137" ht="15.75" thickBot="1" x14ac:dyDescent="0.3">
      <c r="A29" s="13">
        <v>16</v>
      </c>
      <c r="B29" s="8" t="s">
        <v>17</v>
      </c>
      <c r="C29" s="8" t="s">
        <v>208</v>
      </c>
      <c r="D29" s="14">
        <v>0</v>
      </c>
      <c r="E29" s="13" t="s">
        <v>9</v>
      </c>
      <c r="F29" s="10">
        <v>46189</v>
      </c>
      <c r="G29" s="10">
        <v>46193</v>
      </c>
      <c r="H29" s="13">
        <f t="shared" si="55"/>
        <v>5</v>
      </c>
      <c r="I29" s="13">
        <v>16</v>
      </c>
      <c r="J29" s="8" t="s">
        <v>190</v>
      </c>
      <c r="K29" s="8"/>
      <c r="L29" s="8"/>
      <c r="M29" s="8"/>
      <c r="N29" s="8"/>
      <c r="O29" s="8" t="s">
        <v>174</v>
      </c>
      <c r="P29" s="8" t="s">
        <v>151</v>
      </c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</row>
    <row r="30" spans="1:137" ht="15.75" thickBot="1" x14ac:dyDescent="0.3">
      <c r="A30" s="13">
        <v>17</v>
      </c>
      <c r="B30" s="8" t="s">
        <v>18</v>
      </c>
      <c r="C30" t="s">
        <v>209</v>
      </c>
      <c r="D30" s="14">
        <v>0</v>
      </c>
      <c r="E30" s="13" t="s">
        <v>10</v>
      </c>
      <c r="F30" s="10">
        <v>46179</v>
      </c>
      <c r="G30" s="10">
        <v>46188</v>
      </c>
      <c r="H30" s="13">
        <f t="shared" si="55"/>
        <v>10</v>
      </c>
      <c r="I30" s="13">
        <v>24</v>
      </c>
      <c r="J30" s="8" t="s">
        <v>189</v>
      </c>
      <c r="K30" s="8"/>
      <c r="L30" s="8"/>
      <c r="M30" s="8"/>
      <c r="N30" s="8"/>
      <c r="O30" t="s">
        <v>175</v>
      </c>
      <c r="P30" s="8" t="s">
        <v>151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</row>
    <row r="31" spans="1:137" ht="15.75" thickBot="1" x14ac:dyDescent="0.3">
      <c r="A31" s="13">
        <v>18</v>
      </c>
      <c r="B31" s="8" t="s">
        <v>19</v>
      </c>
      <c r="C31" s="8" t="s">
        <v>210</v>
      </c>
      <c r="D31" s="14">
        <v>0</v>
      </c>
      <c r="E31" s="13" t="s">
        <v>57</v>
      </c>
      <c r="F31" s="10">
        <v>46185</v>
      </c>
      <c r="G31" s="10">
        <v>46198</v>
      </c>
      <c r="H31" s="13">
        <f t="shared" si="55"/>
        <v>14</v>
      </c>
      <c r="I31" s="13">
        <v>20</v>
      </c>
      <c r="J31" s="8" t="s">
        <v>191</v>
      </c>
      <c r="K31" s="8"/>
      <c r="L31" s="8"/>
      <c r="M31" s="8"/>
      <c r="N31" s="8"/>
      <c r="O31" s="8" t="s">
        <v>176</v>
      </c>
      <c r="P31" s="8" t="s">
        <v>151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</row>
    <row r="32" spans="1:137" ht="15.75" thickBot="1" x14ac:dyDescent="0.3">
      <c r="A32" s="13">
        <v>19</v>
      </c>
      <c r="B32" s="8" t="s">
        <v>148</v>
      </c>
      <c r="C32" t="s">
        <v>211</v>
      </c>
      <c r="D32" s="14">
        <v>0</v>
      </c>
      <c r="E32" s="13" t="s">
        <v>57</v>
      </c>
      <c r="F32" s="10">
        <v>46189</v>
      </c>
      <c r="G32" s="10">
        <v>46202</v>
      </c>
      <c r="H32" s="13">
        <f t="shared" si="55"/>
        <v>14</v>
      </c>
      <c r="I32" s="13">
        <v>10</v>
      </c>
      <c r="J32" t="s">
        <v>192</v>
      </c>
      <c r="K32" s="8"/>
      <c r="L32" s="8"/>
      <c r="M32" s="8"/>
      <c r="N32" s="8"/>
      <c r="O32" t="s">
        <v>177</v>
      </c>
      <c r="P32" s="8" t="s">
        <v>151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</row>
    <row r="33" spans="1:137" s="25" customFormat="1" ht="15.75" thickBot="1" x14ac:dyDescent="0.3">
      <c r="A33" s="18"/>
      <c r="B33" s="18"/>
      <c r="C33" s="18" t="s">
        <v>178</v>
      </c>
      <c r="D33" s="14">
        <f>AVERAGE(D27:D32)</f>
        <v>0</v>
      </c>
      <c r="E33" s="19" t="s">
        <v>57</v>
      </c>
      <c r="F33" s="20">
        <v>46175</v>
      </c>
      <c r="G33" s="20">
        <v>46202</v>
      </c>
      <c r="H33" s="19">
        <f>G33-F33+1</f>
        <v>28</v>
      </c>
      <c r="I33" s="19">
        <f>SUM(I27:I32)</f>
        <v>112</v>
      </c>
      <c r="J33" s="18"/>
      <c r="K33" s="18"/>
      <c r="L33" s="18"/>
      <c r="M33" s="18"/>
      <c r="N33" s="18"/>
      <c r="O33" s="18" t="s">
        <v>179</v>
      </c>
      <c r="P33" s="8" t="s">
        <v>151</v>
      </c>
      <c r="Q33" s="18"/>
      <c r="R33" s="1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</row>
    <row r="34" spans="1:137" x14ac:dyDescent="0.25">
      <c r="A34" s="21"/>
      <c r="B34" s="22"/>
      <c r="D34" s="23"/>
      <c r="E34" s="21"/>
      <c r="F34" s="24"/>
      <c r="G34" s="24"/>
      <c r="H34" s="21"/>
      <c r="I34" s="21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</row>
    <row r="35" spans="1:137" x14ac:dyDescent="0.25">
      <c r="A35" s="1"/>
      <c r="B35" s="1"/>
      <c r="C35" s="27"/>
      <c r="D35" s="26"/>
      <c r="F35" s="28"/>
      <c r="G35" s="28"/>
      <c r="H35" s="1"/>
      <c r="I35" s="1"/>
    </row>
    <row r="36" spans="1:137" x14ac:dyDescent="0.25">
      <c r="A36" s="1"/>
      <c r="D36" s="26"/>
      <c r="F36" s="28"/>
      <c r="G36" s="28"/>
      <c r="H36" s="1"/>
      <c r="I36" s="1"/>
    </row>
    <row r="37" spans="1:137" x14ac:dyDescent="0.25">
      <c r="A37" s="1"/>
      <c r="D37" s="26"/>
      <c r="F37" s="28"/>
      <c r="G37" s="28"/>
      <c r="H37" s="1"/>
      <c r="I37" s="1"/>
    </row>
    <row r="38" spans="1:137" x14ac:dyDescent="0.25">
      <c r="A38" s="1"/>
      <c r="D38" s="26"/>
      <c r="F38" s="28"/>
      <c r="G38" s="28"/>
      <c r="H38" s="1"/>
      <c r="I38" s="1"/>
    </row>
    <row r="39" spans="1:137" x14ac:dyDescent="0.25">
      <c r="A39" s="1"/>
      <c r="D39" s="26"/>
      <c r="F39" s="28"/>
      <c r="G39" s="28"/>
      <c r="H39" s="1"/>
      <c r="I39" s="1"/>
    </row>
    <row r="47" spans="1:137" x14ac:dyDescent="0.25">
      <c r="AH47" t="s">
        <v>21</v>
      </c>
    </row>
    <row r="48" spans="1:137" x14ac:dyDescent="0.25">
      <c r="AH48" t="s">
        <v>22</v>
      </c>
    </row>
    <row r="49" spans="34:34" x14ac:dyDescent="0.25">
      <c r="AH49" t="s">
        <v>23</v>
      </c>
    </row>
  </sheetData>
  <mergeCells count="25">
    <mergeCell ref="A2:E2"/>
    <mergeCell ref="A3:C3"/>
    <mergeCell ref="A4:C4"/>
    <mergeCell ref="F6:I6"/>
    <mergeCell ref="K6:N6"/>
    <mergeCell ref="CD6:CJ6"/>
    <mergeCell ref="S6:Y6"/>
    <mergeCell ref="Z6:AF6"/>
    <mergeCell ref="AG6:AM6"/>
    <mergeCell ref="AN6:AT6"/>
    <mergeCell ref="AU6:BA6"/>
    <mergeCell ref="BB6:BH6"/>
    <mergeCell ref="B7:C7"/>
    <mergeCell ref="D7:E7"/>
    <mergeCell ref="BI6:BO6"/>
    <mergeCell ref="BP6:BV6"/>
    <mergeCell ref="BW6:CC6"/>
    <mergeCell ref="Q6:R6"/>
    <mergeCell ref="EA6:EG6"/>
    <mergeCell ref="CK6:CQ6"/>
    <mergeCell ref="CR6:CX6"/>
    <mergeCell ref="CY6:DE6"/>
    <mergeCell ref="DF6:DL6"/>
    <mergeCell ref="DM6:DS6"/>
    <mergeCell ref="DT6:DZ6"/>
  </mergeCells>
  <conditionalFormatting sqref="D9:D39">
    <cfRule type="dataBar" priority="16">
      <dataBar>
        <cfvo type="num" val="0"/>
        <cfvo type="num" val="1"/>
        <color theme="6" tint="0.59999389629810485"/>
      </dataBar>
      <extLst>
        <ext xmlns:x14="http://schemas.microsoft.com/office/spreadsheetml/2009/9/main" uri="{B025F937-C7B1-47D3-B67F-A62EFF666E3E}">
          <x14:id>{A2ACB490-2DBB-4915-A637-03F71AF5589F}</x14:id>
        </ext>
      </extLst>
    </cfRule>
  </conditionalFormatting>
  <conditionalFormatting sqref="S34:S39 U34:W39">
    <cfRule type="expression" dxfId="11" priority="17">
      <formula>S$7=TODAY()</formula>
    </cfRule>
  </conditionalFormatting>
  <conditionalFormatting sqref="S9:BH16 S15:CX33 S34:S39 U34:W39">
    <cfRule type="expression" dxfId="10" priority="19">
      <formula>AND(S$7&gt;=$F9,S$7&lt;=$G9)</formula>
    </cfRule>
  </conditionalFormatting>
  <conditionalFormatting sqref="S9:CX16 BI18:CX24 BJ25:CX26 BI27:CX32">
    <cfRule type="expression" dxfId="9" priority="5">
      <formula>AND(S$7&gt;=$F9,S$7&lt;=((($G9-$F9+1)*$D9)+$F9-1))</formula>
    </cfRule>
  </conditionalFormatting>
  <conditionalFormatting sqref="S9:CX33 BI18:CX24 BJ25:CX26 BI27:CX32">
    <cfRule type="expression" dxfId="8" priority="4">
      <formula>S$7=TODAY()</formula>
    </cfRule>
  </conditionalFormatting>
  <conditionalFormatting sqref="S15:CX33 S34:S39 U34:W39">
    <cfRule type="expression" dxfId="7" priority="18">
      <formula>AND(S$7&gt;=$F15,S$7&lt;=((($G15-$F15+1)*$D15)+$F15-1))</formula>
    </cfRule>
  </conditionalFormatting>
  <conditionalFormatting sqref="X17:CX17">
    <cfRule type="expression" dxfId="6" priority="13">
      <formula>X$7=TODAY()</formula>
    </cfRule>
    <cfRule type="expression" dxfId="5" priority="14">
      <formula>AND(X$7&gt;=$F17,X$7&lt;=((($G17-$F17+1)*$D17)+$F17-1))</formula>
    </cfRule>
    <cfRule type="expression" dxfId="4" priority="15">
      <formula>AND(X$7&gt;=$F17,X$7&lt;=$G17)</formula>
    </cfRule>
  </conditionalFormatting>
  <conditionalFormatting sqref="X33:CX33">
    <cfRule type="expression" dxfId="3" priority="1">
      <formula>X$7=TODAY()</formula>
    </cfRule>
    <cfRule type="expression" dxfId="2" priority="2">
      <formula>AND(X$7&gt;=$F33,X$7&lt;=((($G33-$F33+1)*$D33)+$F33-1))</formula>
    </cfRule>
    <cfRule type="expression" dxfId="1" priority="3">
      <formula>AND(X$7&gt;=$F33,X$7&lt;=$G33)</formula>
    </cfRule>
  </conditionalFormatting>
  <conditionalFormatting sqref="BI9:CX16 BI18:CX24 BJ25:CX26 BI27:CX32">
    <cfRule type="expression" dxfId="0" priority="6">
      <formula>AND(BI$7&gt;=$F9,BI$7&lt;=$G9)</formula>
    </cfRule>
  </conditionalFormatting>
  <pageMargins left="0.25" right="0.25" top="0.75" bottom="0.75" header="0.3" footer="0.3"/>
  <pageSetup paperSize="141" scale="1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Scroll Bar 1">
              <controlPr defaultSize="0" autoPict="0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3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ACB490-2DBB-4915-A637-03F71AF5589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theme="6" tint="0.59999389629810485"/>
              <x14:negativeFillColor rgb="FFFF0000"/>
              <x14:negativeBorderColor rgb="FFFF0000"/>
              <x14:axisColor rgb="FF000000"/>
            </x14:dataBar>
          </x14:cfRule>
          <xm:sqref>D9:D39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6EF523-225B-4D12-8AD4-EE46A00F71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Tareas_ROV</vt:lpstr>
      <vt:lpstr>Hoja1 (4)</vt:lpstr>
      <vt:lpstr>Hoja1 (5)</vt:lpstr>
      <vt:lpstr>'Hoja1 (4)'!Área_de_impresión</vt:lpstr>
      <vt:lpstr>'Hoja1 (5)'!Área_de_impresión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b</dc:creator>
  <cp:lastModifiedBy>Alvaro Santamaria</cp:lastModifiedBy>
  <cp:lastPrinted>2025-09-01T01:31:39Z</cp:lastPrinted>
  <dcterms:created xsi:type="dcterms:W3CDTF">2025-08-23T01:05:13Z</dcterms:created>
  <dcterms:modified xsi:type="dcterms:W3CDTF">2026-04-09T16:36:10Z</dcterms:modified>
</cp:coreProperties>
</file>